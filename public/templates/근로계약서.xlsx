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서재형\Desktop\new\public\templates\"/>
    </mc:Choice>
  </mc:AlternateContent>
  <xr:revisionPtr revIDLastSave="0" documentId="13_ncr:1_{46E9A208-6E61-40C7-8968-D5A3D1A04AF1}" xr6:coauthVersionLast="41" xr6:coauthVersionMax="41" xr10:uidLastSave="{00000000-0000-0000-0000-000000000000}"/>
  <bookViews>
    <workbookView xWindow="28680" yWindow="-120" windowWidth="29040" windowHeight="15840" xr2:uid="{A069F97D-D827-44C7-BA17-733891BF6055}"/>
  </bookViews>
  <sheets>
    <sheet name="근로계약서" sheetId="1" r:id="rId1"/>
  </sheets>
  <definedNames>
    <definedName name="_xlnm.Print_Area" localSheetId="0">근로계약서!$A$1:$I$41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A38" i="1"/>
  <c r="H34" i="1"/>
  <c r="H25" i="1"/>
  <c r="H24" i="1"/>
  <c r="H23" i="1"/>
  <c r="E10" i="1"/>
</calcChain>
</file>

<file path=xl/sharedStrings.xml><?xml version="1.0" encoding="utf-8"?>
<sst xmlns="http://schemas.openxmlformats.org/spreadsheetml/2006/main" count="73" uniqueCount="67">
  <si>
    <t>*직종 : 일급제</t>
    <phoneticPr fontId="3" type="noConversion"/>
  </si>
  <si>
    <t>근로계약서(일급제)</t>
    <phoneticPr fontId="3" type="noConversion"/>
  </si>
  <si>
    <t>회사(갑)</t>
    <phoneticPr fontId="3" type="noConversion"/>
  </si>
  <si>
    <t>상호</t>
    <phoneticPr fontId="3" type="noConversion"/>
  </si>
  <si>
    <t>주식회사 욱림건설</t>
    <phoneticPr fontId="3" type="noConversion"/>
  </si>
  <si>
    <t>대표이사</t>
    <phoneticPr fontId="3" type="noConversion"/>
  </si>
  <si>
    <t>이성종</t>
    <phoneticPr fontId="3" type="noConversion"/>
  </si>
  <si>
    <t>소재지</t>
    <phoneticPr fontId="3" type="noConversion"/>
  </si>
  <si>
    <t>서울 강동구 고덕로 1길 21-7</t>
    <phoneticPr fontId="3" type="noConversion"/>
  </si>
  <si>
    <t>근로자(을)</t>
    <phoneticPr fontId="3" type="noConversion"/>
  </si>
  <si>
    <t>성명</t>
    <phoneticPr fontId="3" type="noConversion"/>
  </si>
  <si>
    <t>공붕비</t>
    <phoneticPr fontId="3" type="noConversion"/>
  </si>
  <si>
    <t>주민등록번호</t>
    <phoneticPr fontId="3" type="noConversion"/>
  </si>
  <si>
    <t>주소</t>
    <phoneticPr fontId="3" type="noConversion"/>
  </si>
  <si>
    <t>아래의 근로조건을 성실히 이행할 것을 약정하고 근로계약을 체결한다.</t>
    <phoneticPr fontId="3" type="noConversion"/>
  </si>
  <si>
    <t>제1조(계약기간)</t>
    <phoneticPr fontId="3" type="noConversion"/>
  </si>
  <si>
    <t xml:space="preserve">이 계약의 계약기간은 </t>
    <phoneticPr fontId="3" type="noConversion"/>
  </si>
  <si>
    <t>2025년 10월 19일</t>
    <phoneticPr fontId="3" type="noConversion"/>
  </si>
  <si>
    <t>까지로하고, 당사자가</t>
    <phoneticPr fontId="3" type="noConversion"/>
  </si>
  <si>
    <t>연장에 합의하지 않거나 계약기간 중이라도 해당 공종이 완료나 타절되는 경우 본 계약은 자동종료된 것으로 한다.</t>
    <phoneticPr fontId="3" type="noConversion"/>
  </si>
  <si>
    <t>제2조(근무장소 및 담당업무) :</t>
    <phoneticPr fontId="3" type="noConversion"/>
  </si>
  <si>
    <r>
      <rPr>
        <sz val="11"/>
        <color theme="1"/>
        <rFont val="Segoe UI Symbol"/>
        <family val="2"/>
      </rPr>
      <t>◉</t>
    </r>
    <r>
      <rPr>
        <sz val="11"/>
        <color theme="1"/>
        <rFont val="돋움"/>
        <family val="3"/>
        <charset val="129"/>
      </rPr>
      <t xml:space="preserve"> 근무장소(부서) :</t>
    </r>
    <phoneticPr fontId="3" type="noConversion"/>
  </si>
  <si>
    <t>용인금어지구 한라에피트 현장</t>
    <phoneticPr fontId="3" type="noConversion"/>
  </si>
  <si>
    <r>
      <rPr>
        <sz val="11"/>
        <color theme="1"/>
        <rFont val="Segoe UI Symbol"/>
        <family val="2"/>
      </rPr>
      <t>◉</t>
    </r>
    <r>
      <rPr>
        <sz val="11"/>
        <color theme="1"/>
        <rFont val="돋움"/>
        <family val="3"/>
        <charset val="129"/>
      </rPr>
      <t xml:space="preserve"> 담당업무 : </t>
    </r>
    <phoneticPr fontId="3" type="noConversion"/>
  </si>
  <si>
    <t>내장공</t>
    <phoneticPr fontId="3" type="noConversion"/>
  </si>
  <si>
    <t>제3조(근로시간 및 휴게시간)</t>
    <phoneticPr fontId="3" type="noConversion"/>
  </si>
  <si>
    <r>
      <rPr>
        <sz val="11"/>
        <color theme="1"/>
        <rFont val="Segoe UI Symbol"/>
        <family val="3"/>
      </rPr>
      <t>◉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돋움"/>
        <family val="3"/>
        <charset val="129"/>
      </rPr>
      <t>월  ~  토 : 오전 7시부터 오후 5시까지(10),</t>
    </r>
    <phoneticPr fontId="3" type="noConversion"/>
  </si>
  <si>
    <t>휴게, 오전 9시~9시 20분(0.33), 11시 40분~13시(1.33), 15시~15시 20분(0.33)... 2h ⇒ 실근로 8시간</t>
    <phoneticPr fontId="3" type="noConversion"/>
  </si>
  <si>
    <r>
      <rPr>
        <b/>
        <sz val="11"/>
        <color theme="1"/>
        <rFont val="돋움"/>
        <family val="3"/>
        <charset val="129"/>
      </rPr>
      <t>제4조(유급휴일)</t>
    </r>
    <r>
      <rPr>
        <sz val="11"/>
        <color theme="1"/>
        <rFont val="돋움"/>
        <family val="3"/>
        <charset val="129"/>
      </rPr>
      <t xml:space="preserve"> : 근로자의 날(5월 1일)</t>
    </r>
    <phoneticPr fontId="3" type="noConversion"/>
  </si>
  <si>
    <r>
      <rPr>
        <b/>
        <sz val="11"/>
        <color theme="1"/>
        <rFont val="돋움"/>
        <family val="3"/>
        <charset val="129"/>
      </rPr>
      <t>제5조(연차휴가)</t>
    </r>
    <r>
      <rPr>
        <sz val="11"/>
        <color theme="1"/>
        <rFont val="돋움"/>
        <family val="3"/>
        <charset val="129"/>
      </rPr>
      <t xml:space="preserve"> : 구체적인 기준은 근로기준법에서 정한 바에 의한다.</t>
    </r>
    <phoneticPr fontId="3" type="noConversion"/>
  </si>
  <si>
    <t>제6조(약정임금)</t>
    <phoneticPr fontId="3" type="noConversion"/>
  </si>
  <si>
    <t>- 일급(a)</t>
    <phoneticPr fontId="3" type="noConversion"/>
  </si>
  <si>
    <t>으로 정하여 매월 지급한다. 퇴직금은 1년 이상 계속 근무시 별도 지급한다.</t>
    <phoneticPr fontId="3" type="noConversion"/>
  </si>
  <si>
    <t>구분</t>
    <phoneticPr fontId="3" type="noConversion"/>
  </si>
  <si>
    <t>기본일급</t>
    <phoneticPr fontId="3" type="noConversion"/>
  </si>
  <si>
    <t>주휴수당</t>
    <phoneticPr fontId="3" type="noConversion"/>
  </si>
  <si>
    <t>연장</t>
    <phoneticPr fontId="3" type="noConversion"/>
  </si>
  <si>
    <t>토요근로</t>
    <phoneticPr fontId="3" type="noConversion"/>
  </si>
  <si>
    <t>공휴일</t>
    <phoneticPr fontId="3" type="noConversion"/>
  </si>
  <si>
    <t>연차수당</t>
    <phoneticPr fontId="3" type="noConversion"/>
  </si>
  <si>
    <t>약정임금 계 (a)</t>
    <phoneticPr fontId="3" type="noConversion"/>
  </si>
  <si>
    <t>(8시간)</t>
    <phoneticPr fontId="3" type="noConversion"/>
  </si>
  <si>
    <t>(주8시간)</t>
    <phoneticPr fontId="3" type="noConversion"/>
  </si>
  <si>
    <t>근로수당</t>
    <phoneticPr fontId="3" type="noConversion"/>
  </si>
  <si>
    <t>수당(가산)</t>
    <phoneticPr fontId="3" type="noConversion"/>
  </si>
  <si>
    <t>(월10h)</t>
    <phoneticPr fontId="3" type="noConversion"/>
  </si>
  <si>
    <t>시간</t>
    <phoneticPr fontId="3" type="noConversion"/>
  </si>
  <si>
    <t>백분율(%)</t>
    <phoneticPr fontId="3" type="noConversion"/>
  </si>
  <si>
    <t>금액(원)</t>
    <phoneticPr fontId="3" type="noConversion"/>
  </si>
  <si>
    <t>①제6조의 약정임금은 근로시간과 위 법정제수당을 합한 금액으로 한다.
②급여지급시 근로소득세 및 고용보험료등 사대보험료를 원천징수한 후 지급한다.                                               
③임금지급 : 매월 (  1  )일부터 (  말  )일까지 산정하여 (당월,  익월) (  말  )일에 지급한다.(계좌이체) 
④공휴일근로수당은[관공서 공휴일에 관한 규정]에 따른 공휴일(일요일제외) 및 대체공휴일 근무시 발생하는 근로임금 및 가산수당을 포괄 산정함</t>
    <phoneticPr fontId="3" type="noConversion"/>
  </si>
  <si>
    <r>
      <rPr>
        <b/>
        <sz val="11"/>
        <color theme="1"/>
        <rFont val="돋움"/>
        <family val="3"/>
        <charset val="129"/>
      </rPr>
      <t>제7조(계약 해지) :</t>
    </r>
    <r>
      <rPr>
        <sz val="11"/>
        <color theme="1"/>
        <rFont val="돋움"/>
        <family val="3"/>
        <charset val="129"/>
      </rPr>
      <t xml:space="preserve"> “을”이 아래의 사유에 해당하는 경우 계약 만료 이전이라도 계약해지할 수 있다.
1. 안전수칙불이행, 안전장구 미착용, 안전조회 불참, 근무지 무단이탈, 무단결근등 근무를 태만히 한 경우
2. 정당한 작업지시 불이행 및 고의, 중대한 과실로 사고나 손실을 야기시키거나 </t>
    </r>
    <r>
      <rPr>
        <sz val="11"/>
        <color rgb="FFFF0000"/>
        <rFont val="돋움"/>
        <family val="3"/>
        <charset val="129"/>
      </rPr>
      <t>업무수행능력이 부족한 경우</t>
    </r>
    <r>
      <rPr>
        <sz val="11"/>
        <color theme="1"/>
        <rFont val="돋움"/>
        <family val="3"/>
        <charset val="129"/>
      </rPr>
      <t xml:space="preserve">
3. 불법 집단행동,태업, 준법투쟁, 업무방해를 주도하였거나 적극 참여한 경우                                                           
4. 작업장 내 폭행, 폭언, 성희롱, 유인물 무단배포, 금연구역 흡연, 무단촬영등 근무질서를 문란하게 한 경우              
5. 기타 이에 준하는 행위로 직장질서를 문란하게 한 자.</t>
    </r>
    <phoneticPr fontId="3" type="noConversion"/>
  </si>
  <si>
    <r>
      <rPr>
        <b/>
        <sz val="11"/>
        <color theme="1"/>
        <rFont val="돋움"/>
        <family val="3"/>
        <charset val="129"/>
      </rPr>
      <t>제8조(손해배상 및 안전관리) :</t>
    </r>
    <r>
      <rPr>
        <sz val="11"/>
        <color theme="1"/>
        <rFont val="돋움"/>
        <family val="3"/>
        <charset val="129"/>
      </rPr>
      <t xml:space="preserve"> “을”의 고의 또는 과실(근무태만)로 “갑”이 재산상의 손해를 입었을 경우에 “을”은 
이를 배상하여야 하고, “갑”이 정한 안전관리의 지시사항을 준수하여야 하며 동사항을 위반하여 발생한 사고의 경우
에는 “갑”은 그 책임을 지지 않는다.</t>
    </r>
    <phoneticPr fontId="3" type="noConversion"/>
  </si>
  <si>
    <r>
      <rPr>
        <b/>
        <sz val="11"/>
        <color theme="1"/>
        <rFont val="돋움"/>
        <family val="3"/>
        <charset val="129"/>
      </rPr>
      <t>제9조(기타 근로조건)</t>
    </r>
    <r>
      <rPr>
        <sz val="11"/>
        <color theme="1"/>
        <rFont val="돋움"/>
        <family val="3"/>
        <charset val="129"/>
      </rPr>
      <t xml:space="preserve">
1."을"은 원칙적으로 </t>
    </r>
    <r>
      <rPr>
        <b/>
        <u/>
        <sz val="10.5"/>
        <color theme="1"/>
        <rFont val="돋움"/>
        <family val="3"/>
        <charset val="129"/>
      </rPr>
      <t>일일단위로 계약이 자동 종료되는 일용직으로 계약 기간 중이라 하더라도 공사현장 사정상
부득이한 경우는 계약이 해지될 수 있다.</t>
    </r>
    <r>
      <rPr>
        <b/>
        <sz val="11"/>
        <color theme="1"/>
        <rFont val="돋움"/>
        <family val="3"/>
        <charset val="129"/>
      </rPr>
      <t xml:space="preserve">
</t>
    </r>
    <r>
      <rPr>
        <b/>
        <u/>
        <sz val="11"/>
        <color rgb="FFFF0000"/>
        <rFont val="돋움"/>
        <family val="3"/>
        <charset val="129"/>
      </rPr>
      <t>2. 현장에 출력하여 업무수행능력이 부족하다고 판정된 경우 동의하에 일급 책정을 다시 할 수 있다.</t>
    </r>
    <r>
      <rPr>
        <sz val="11"/>
        <color theme="1"/>
        <rFont val="돋움"/>
        <family val="3"/>
        <charset val="129"/>
      </rPr>
      <t xml:space="preserve">
3. "을"이 계약기간 중 일을 그만두고자 할 경우에는 7일전에 통보하여야 한다.
4. 개인정보(성명, 주민등록번호, 주소, 급여, 전화번호)를 원청, 급여 및 4대보험 관련 업무 관계자에 제공하는데에 이의없이 동의한다.</t>
    </r>
    <phoneticPr fontId="3" type="noConversion"/>
  </si>
  <si>
    <t xml:space="preserve">개인정보 제공동의서 성명 : </t>
    <phoneticPr fontId="3" type="noConversion"/>
  </si>
  <si>
    <t>(인)</t>
    <phoneticPr fontId="3" type="noConversion"/>
  </si>
  <si>
    <t>제10조(안전장구 지급확인)</t>
    <phoneticPr fontId="3" type="noConversion"/>
  </si>
  <si>
    <t>안전모</t>
    <phoneticPr fontId="3" type="noConversion"/>
  </si>
  <si>
    <t>안전화</t>
    <phoneticPr fontId="3" type="noConversion"/>
  </si>
  <si>
    <t>안전벨트</t>
    <phoneticPr fontId="3" type="noConversion"/>
  </si>
  <si>
    <t>보호안경</t>
    <phoneticPr fontId="3" type="noConversion"/>
  </si>
  <si>
    <t>채용시 안전교육 이수여부</t>
    <phoneticPr fontId="3" type="noConversion"/>
  </si>
  <si>
    <t>상기 안전장구 수량확인 및 근로계약, 현장 안전수칙을 확인하고 이행함을 동의합니다.</t>
    <phoneticPr fontId="3" type="noConversion"/>
  </si>
  <si>
    <t>(인)</t>
    <phoneticPr fontId="3" type="noConversion"/>
  </si>
  <si>
    <t xml:space="preserve"> 본 계약서상에 명시되지 않은 사항은 노동관계법령에서 정한 바에 따르고 1부를 "을"에게 교부한다.</t>
    <phoneticPr fontId="3" type="noConversion"/>
  </si>
  <si>
    <t>"갑" 회사 :</t>
    <phoneticPr fontId="3" type="noConversion"/>
  </si>
  <si>
    <t xml:space="preserve">"을"근로자 : </t>
    <phoneticPr fontId="3" type="noConversion"/>
  </si>
  <si>
    <t>(현장대리인)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</si>
</sst>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1" formatCode="_-* #,##0_-;\-* #,##0_-;_-* &quot;-&quot;_-;_-@_-"/>
    <numFmt numFmtId="176" formatCode="yyyy&quot;년&quot;\ mm&quot;월&quot;\ dd&quot;일부터&quot;"/>
    <numFmt numFmtId="177" formatCode="mm&quot;월&quot;"/>
    <numFmt numFmtId="178" formatCode="dd&quot;일&quot;"/>
    <numFmt numFmtId="179" formatCode="_-* #,##0.00_-;\-* #,##0.00_-;_-* &quot;-&quot;_-;_-@_-"/>
    <numFmt numFmtId="180" formatCode="yyyy&quot;년&quot;\ \ \ \ \ mm&quot;월&quot;\ \ \ \ \ dd&quot;일&quot;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8"/>
      <color theme="1"/>
      <name val="맑은 고딕"/>
      <family val="3"/>
      <charset val="129"/>
      <scheme val="major"/>
    </font>
    <font>
      <b/>
      <sz val="11"/>
      <color theme="1"/>
      <name val="돋움"/>
      <family val="3"/>
      <charset val="129"/>
    </font>
    <font>
      <sz val="11"/>
      <name val="돋움"/>
      <family val="3"/>
      <charset val="129"/>
    </font>
    <font>
      <u/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11"/>
      <color theme="1"/>
      <name val="Segoe UI Symbol"/>
      <family val="2"/>
    </font>
    <font>
      <sz val="11"/>
      <color theme="1"/>
      <name val="Segoe UI Symbol"/>
      <family val="3"/>
    </font>
    <font>
      <sz val="11"/>
      <color theme="1"/>
      <name val="Calibri"/>
      <family val="3"/>
    </font>
    <font>
      <b/>
      <u/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b/>
      <u/>
      <sz val="10.5"/>
      <color theme="1"/>
      <name val="돋움"/>
      <family val="3"/>
      <charset val="129"/>
    </font>
    <font>
      <b/>
      <u/>
      <sz val="11"/>
      <color rgb="FFFF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4" fillId="0" borderId="0" xfId="0" applyNumberFormat="1" applyFo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left" vertical="top" indent="1"/>
    </xf>
    <xf numFmtId="0" fontId="4" fillId="0" borderId="0" xfId="0" applyFont="1" applyAlignment="1">
      <alignment vertical="top"/>
    </xf>
    <xf numFmtId="176" fontId="8" fillId="0" borderId="0" xfId="0" applyNumberFormat="1" applyFont="1" applyAlignment="1">
      <alignment horizontal="center" vertical="top"/>
    </xf>
    <xf numFmtId="31" fontId="8" fillId="0" borderId="0" xfId="0" applyNumberFormat="1" applyFont="1" applyAlignment="1">
      <alignment horizontal="center" vertical="top"/>
    </xf>
    <xf numFmtId="177" fontId="4" fillId="0" borderId="0" xfId="0" applyNumberFormat="1" applyFont="1" applyAlignment="1">
      <alignment horizontal="left" vertical="top"/>
    </xf>
    <xf numFmtId="178" fontId="4" fillId="0" borderId="0" xfId="0" applyNumberFormat="1" applyFont="1" applyAlignment="1">
      <alignment horizontal="center" vertical="top"/>
    </xf>
    <xf numFmtId="178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0" xfId="0" quotePrefix="1" applyFont="1" applyAlignment="1">
      <alignment vertical="top"/>
    </xf>
    <xf numFmtId="6" fontId="13" fillId="0" borderId="0" xfId="0" applyNumberFormat="1" applyFont="1" applyAlignment="1">
      <alignment horizontal="center" vertical="top"/>
    </xf>
    <xf numFmtId="0" fontId="4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>
      <alignment vertical="center"/>
    </xf>
    <xf numFmtId="179" fontId="4" fillId="0" borderId="24" xfId="1" applyNumberFormat="1" applyFont="1" applyBorder="1">
      <alignment vertical="center"/>
    </xf>
    <xf numFmtId="179" fontId="4" fillId="0" borderId="24" xfId="1" applyNumberFormat="1" applyFont="1" applyBorder="1" applyAlignment="1">
      <alignment horizontal="center" vertical="center"/>
    </xf>
    <xf numFmtId="179" fontId="4" fillId="0" borderId="25" xfId="1" applyNumberFormat="1" applyFont="1" applyBorder="1" applyAlignment="1">
      <alignment horizontal="center" vertical="center"/>
    </xf>
    <xf numFmtId="179" fontId="4" fillId="0" borderId="0" xfId="1" applyNumberFormat="1" applyFont="1">
      <alignment vertical="center"/>
    </xf>
    <xf numFmtId="0" fontId="4" fillId="0" borderId="4" xfId="0" applyFont="1" applyBorder="1">
      <alignment vertical="center"/>
    </xf>
    <xf numFmtId="179" fontId="4" fillId="0" borderId="5" xfId="1" applyNumberFormat="1" applyFont="1" applyBorder="1">
      <alignment vertical="center"/>
    </xf>
    <xf numFmtId="179" fontId="4" fillId="0" borderId="6" xfId="1" applyNumberFormat="1" applyFont="1" applyBorder="1" applyAlignment="1">
      <alignment horizontal="center" vertical="center"/>
    </xf>
    <xf numFmtId="179" fontId="4" fillId="0" borderId="7" xfId="1" applyNumberFormat="1" applyFont="1" applyBorder="1" applyAlignment="1">
      <alignment horizontal="center" vertical="center"/>
    </xf>
    <xf numFmtId="0" fontId="4" fillId="0" borderId="12" xfId="0" applyFont="1" applyBorder="1">
      <alignment vertical="center"/>
    </xf>
    <xf numFmtId="41" fontId="4" fillId="0" borderId="26" xfId="1" applyFont="1" applyBorder="1">
      <alignment vertical="center"/>
    </xf>
    <xf numFmtId="41" fontId="4" fillId="0" borderId="13" xfId="1" applyFont="1" applyBorder="1">
      <alignment vertical="center"/>
    </xf>
    <xf numFmtId="41" fontId="4" fillId="0" borderId="27" xfId="1" applyFont="1" applyBorder="1" applyAlignment="1">
      <alignment horizontal="center" vertical="center"/>
    </xf>
    <xf numFmtId="41" fontId="4" fillId="0" borderId="28" xfId="1" applyFont="1" applyBorder="1" applyAlignment="1">
      <alignment horizontal="center" vertical="center"/>
    </xf>
    <xf numFmtId="41" fontId="4" fillId="0" borderId="0" xfId="1" applyFo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673672</xdr:colOff>
      <xdr:row>25</xdr:row>
      <xdr:rowOff>400622</xdr:rowOff>
    </xdr:from>
    <xdr:to>
      <xdr:col>5</xdr:col>
      <xdr:colOff>174054</xdr:colOff>
      <xdr:row>25</xdr:row>
      <xdr:rowOff>723329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D5309835-79F4-47D0-842A-4971699D78A2}"/>
            </a:ext>
          </a:extLst>
        </xdr:cNvPr>
        <xdr:cNvSpPr/>
      </xdr:nvSpPr>
      <xdr:spPr>
        <a:xfrm>
          <a:off x="4102672" y="5658422"/>
          <a:ext cx="329057" cy="322707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absolute">
    <xdr:from>
      <xdr:col>5</xdr:col>
      <xdr:colOff>330772</xdr:colOff>
      <xdr:row>25</xdr:row>
      <xdr:rowOff>400622</xdr:rowOff>
    </xdr:from>
    <xdr:to>
      <xdr:col>5</xdr:col>
      <xdr:colOff>656654</xdr:colOff>
      <xdr:row>25</xdr:row>
      <xdr:rowOff>723329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67FCF83F-C4F8-494E-8282-A497A3C6529F}"/>
            </a:ext>
          </a:extLst>
        </xdr:cNvPr>
        <xdr:cNvSpPr/>
      </xdr:nvSpPr>
      <xdr:spPr>
        <a:xfrm>
          <a:off x="4588447" y="5658422"/>
          <a:ext cx="325882" cy="322707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C82B-41FE-430D-B83D-D95DA43F9A14}">
  <sheetPr codeName="Sheet2"/>
  <dimension ref="A1:Q41"/>
  <sheetViews>
    <sheetView showGridLines="0" tabSelected="1" view="pageBreakPreview" zoomScaleNormal="100" zoomScaleSheetLayoutView="100" workbookViewId="0">
      <selection activeCell="H18" sqref="H18"/>
    </sheetView>
  </sheetViews>
  <sheetFormatPr defaultColWidth="9" defaultRowHeight="20.100000000000001" customHeight="1" x14ac:dyDescent="0.3"/>
  <cols>
    <col min="1" max="1" width="12.625" style="2" customWidth="1"/>
    <col min="2" max="2" width="10.625" style="2" customWidth="1"/>
    <col min="3" max="9" width="10.875" style="2" customWidth="1"/>
    <col min="10" max="10" width="12.625" style="2" customWidth="1"/>
    <col min="11" max="11" width="10.625" style="2" customWidth="1"/>
    <col min="12" max="18" width="10.875" style="2" customWidth="1"/>
    <col min="19" max="16384" width="9" style="2"/>
  </cols>
  <sheetData>
    <row r="1" spans="1:17" ht="17.25" customHeight="1" x14ac:dyDescent="0.3">
      <c r="A1" s="1" t="s">
        <v>0</v>
      </c>
    </row>
    <row r="2" spans="1:17" ht="19.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4"/>
    </row>
    <row r="3" spans="1:17" ht="9.75" customHeight="1" thickBot="1" x14ac:dyDescent="0.35"/>
    <row r="4" spans="1:17" ht="17.25" customHeight="1" x14ac:dyDescent="0.3">
      <c r="A4" s="5" t="s">
        <v>2</v>
      </c>
      <c r="B4" s="6" t="s">
        <v>3</v>
      </c>
      <c r="C4" s="7" t="s">
        <v>4</v>
      </c>
      <c r="D4" s="7"/>
      <c r="E4" s="7"/>
      <c r="F4" s="7"/>
      <c r="G4" s="6" t="s">
        <v>5</v>
      </c>
      <c r="H4" s="7" t="s">
        <v>6</v>
      </c>
      <c r="I4" s="8"/>
    </row>
    <row r="5" spans="1:17" ht="17.25" customHeight="1" thickBot="1" x14ac:dyDescent="0.35">
      <c r="A5" s="9"/>
      <c r="B5" s="10" t="s">
        <v>7</v>
      </c>
      <c r="C5" s="11" t="s">
        <v>8</v>
      </c>
      <c r="D5" s="11"/>
      <c r="E5" s="11"/>
      <c r="F5" s="11"/>
      <c r="G5" s="11"/>
      <c r="H5" s="11"/>
      <c r="I5" s="12"/>
    </row>
    <row r="6" spans="1:17" ht="17.25" customHeight="1" thickTop="1" x14ac:dyDescent="0.3">
      <c r="A6" s="9" t="s">
        <v>9</v>
      </c>
      <c r="B6" s="13" t="s">
        <v>10</v>
      </c>
      <c r="C6" s="14" t="s">
        <v>11</v>
      </c>
      <c r="D6" s="15"/>
      <c r="E6" s="16" t="s">
        <v>12</v>
      </c>
      <c r="F6" s="16"/>
      <c r="G6" s="16"/>
      <c r="H6" s="16"/>
      <c r="I6" s="17"/>
      <c r="M6" s="18"/>
    </row>
    <row r="7" spans="1:17" ht="17.25" customHeight="1" thickBot="1" x14ac:dyDescent="0.35">
      <c r="A7" s="19"/>
      <c r="B7" s="20" t="s">
        <v>13</v>
      </c>
      <c r="C7" s="21"/>
      <c r="D7" s="22"/>
      <c r="E7" s="22"/>
      <c r="F7" s="22"/>
      <c r="G7" s="22"/>
      <c r="H7" s="22"/>
      <c r="I7" s="23"/>
      <c r="M7" s="18"/>
    </row>
    <row r="8" spans="1:17" ht="19.5" customHeight="1" x14ac:dyDescent="0.3">
      <c r="A8" s="24" t="s">
        <v>14</v>
      </c>
      <c r="B8" s="24"/>
      <c r="C8" s="24"/>
      <c r="D8" s="24"/>
      <c r="E8" s="24"/>
      <c r="F8" s="24"/>
      <c r="G8" s="24"/>
      <c r="H8" s="24"/>
      <c r="I8" s="24"/>
      <c r="L8" s="25"/>
      <c r="M8" s="25"/>
      <c r="N8" s="25"/>
      <c r="O8" s="25"/>
      <c r="P8" s="25"/>
      <c r="Q8" s="26"/>
    </row>
    <row r="9" spans="1:17" ht="20.25" customHeight="1" x14ac:dyDescent="0.3">
      <c r="A9" s="27" t="s">
        <v>15</v>
      </c>
      <c r="L9" s="25"/>
      <c r="M9" s="25"/>
      <c r="N9" s="25"/>
      <c r="O9" s="25"/>
      <c r="P9" s="25"/>
      <c r="Q9" s="25"/>
    </row>
    <row r="10" spans="1:17" s="29" customFormat="1" ht="14.1" customHeight="1" x14ac:dyDescent="0.3">
      <c r="A10" s="28" t="s">
        <v>16</v>
      </c>
      <c r="C10" s="30" t="s">
        <v>17</v>
      </c>
      <c r="D10" s="30"/>
      <c r="E10" s="31">
        <f ca="1">EOMONTH(TODAY(),0)</f>
        <v>46234</v>
      </c>
      <c r="F10" s="31"/>
      <c r="G10" s="32" t="s">
        <v>18</v>
      </c>
      <c r="H10" s="33"/>
      <c r="I10" s="34"/>
      <c r="L10" s="35"/>
      <c r="M10" s="35"/>
      <c r="N10" s="35"/>
      <c r="O10" s="35"/>
      <c r="P10" s="35"/>
      <c r="Q10" s="35"/>
    </row>
    <row r="11" spans="1:17" ht="14.1" customHeight="1" x14ac:dyDescent="0.3">
      <c r="A11" s="29" t="s">
        <v>19</v>
      </c>
      <c r="L11" s="25"/>
      <c r="M11" s="25"/>
      <c r="N11" s="25"/>
      <c r="O11" s="25"/>
      <c r="P11" s="25"/>
      <c r="Q11" s="25"/>
    </row>
    <row r="12" spans="1:17" ht="20.25" customHeight="1" x14ac:dyDescent="0.3">
      <c r="A12" s="27" t="s">
        <v>20</v>
      </c>
      <c r="L12" s="25"/>
      <c r="M12" s="25"/>
      <c r="N12" s="25"/>
      <c r="O12" s="25"/>
      <c r="P12" s="25"/>
      <c r="Q12" s="25"/>
    </row>
    <row r="13" spans="1:17" ht="14.1" customHeight="1" x14ac:dyDescent="0.3">
      <c r="A13" s="36" t="s">
        <v>21</v>
      </c>
      <c r="C13" s="37" t="s">
        <v>22</v>
      </c>
      <c r="D13" s="37"/>
      <c r="E13" s="37"/>
      <c r="F13" s="38" t="s">
        <v>23</v>
      </c>
      <c r="G13" s="38"/>
      <c r="H13" s="39" t="s">
        <v>24</v>
      </c>
      <c r="I13" s="39"/>
      <c r="L13" s="25"/>
      <c r="M13" s="25"/>
      <c r="N13" s="25"/>
      <c r="O13" s="25"/>
      <c r="P13" s="25"/>
      <c r="Q13" s="25"/>
    </row>
    <row r="14" spans="1:17" ht="20.25" customHeight="1" x14ac:dyDescent="0.3">
      <c r="A14" s="27" t="s">
        <v>25</v>
      </c>
      <c r="L14" s="25"/>
      <c r="M14" s="25"/>
      <c r="N14" s="25"/>
      <c r="O14" s="25"/>
      <c r="P14" s="25"/>
      <c r="Q14" s="25"/>
    </row>
    <row r="15" spans="1:17" s="29" customFormat="1" ht="14.1" customHeight="1" x14ac:dyDescent="0.3">
      <c r="A15" s="29" t="s">
        <v>26</v>
      </c>
      <c r="L15" s="35"/>
      <c r="M15" s="35"/>
      <c r="N15" s="35"/>
      <c r="O15" s="35"/>
      <c r="P15" s="35"/>
      <c r="Q15" s="35"/>
    </row>
    <row r="16" spans="1:17" s="29" customFormat="1" ht="14.1" customHeight="1" x14ac:dyDescent="0.3">
      <c r="A16" s="29" t="s">
        <v>27</v>
      </c>
    </row>
    <row r="17" spans="1:10" ht="20.25" customHeight="1" x14ac:dyDescent="0.3">
      <c r="A17" s="2" t="s">
        <v>28</v>
      </c>
    </row>
    <row r="18" spans="1:10" ht="20.25" customHeight="1" x14ac:dyDescent="0.3">
      <c r="A18" s="2" t="s">
        <v>29</v>
      </c>
    </row>
    <row r="19" spans="1:10" ht="20.25" customHeight="1" x14ac:dyDescent="0.3">
      <c r="A19" s="27" t="s">
        <v>30</v>
      </c>
    </row>
    <row r="20" spans="1:10" s="29" customFormat="1" ht="15" customHeight="1" thickBot="1" x14ac:dyDescent="0.35">
      <c r="A20" s="40" t="s">
        <v>31</v>
      </c>
      <c r="B20" s="41">
        <v>180000</v>
      </c>
      <c r="C20" s="41"/>
      <c r="D20" s="29" t="s">
        <v>32</v>
      </c>
    </row>
    <row r="21" spans="1:10" ht="15" customHeight="1" x14ac:dyDescent="0.3">
      <c r="A21" s="5" t="s">
        <v>33</v>
      </c>
      <c r="B21" s="42" t="s">
        <v>34</v>
      </c>
      <c r="C21" s="42" t="s">
        <v>35</v>
      </c>
      <c r="D21" s="42" t="s">
        <v>36</v>
      </c>
      <c r="E21" s="42" t="s">
        <v>37</v>
      </c>
      <c r="F21" s="42" t="s">
        <v>38</v>
      </c>
      <c r="G21" s="42" t="s">
        <v>39</v>
      </c>
      <c r="H21" s="43" t="s">
        <v>40</v>
      </c>
      <c r="I21" s="44"/>
    </row>
    <row r="22" spans="1:10" ht="15" customHeight="1" thickBot="1" x14ac:dyDescent="0.35">
      <c r="A22" s="45"/>
      <c r="B22" s="46" t="s">
        <v>41</v>
      </c>
      <c r="C22" s="46" t="s">
        <v>42</v>
      </c>
      <c r="D22" s="46" t="s">
        <v>43</v>
      </c>
      <c r="E22" s="46" t="s">
        <v>44</v>
      </c>
      <c r="F22" s="46" t="s">
        <v>43</v>
      </c>
      <c r="G22" s="46" t="s">
        <v>45</v>
      </c>
      <c r="H22" s="47"/>
      <c r="I22" s="48"/>
    </row>
    <row r="23" spans="1:10" ht="15" customHeight="1" thickTop="1" x14ac:dyDescent="0.3">
      <c r="A23" s="49" t="s">
        <v>46</v>
      </c>
      <c r="B23" s="50">
        <v>8</v>
      </c>
      <c r="C23" s="50">
        <v>1.6</v>
      </c>
      <c r="D23" s="50">
        <v>0</v>
      </c>
      <c r="E23" s="50">
        <v>0.71</v>
      </c>
      <c r="F23" s="50">
        <v>0.7</v>
      </c>
      <c r="G23" s="50">
        <v>0.39</v>
      </c>
      <c r="H23" s="51">
        <f>SUM(B23:G23)</f>
        <v>11.399999999999999</v>
      </c>
      <c r="I23" s="52"/>
      <c r="J23" s="53"/>
    </row>
    <row r="24" spans="1:10" ht="15" customHeight="1" thickBot="1" x14ac:dyDescent="0.35">
      <c r="A24" s="54" t="s">
        <v>47</v>
      </c>
      <c r="B24" s="55">
        <v>70.17</v>
      </c>
      <c r="C24" s="55">
        <v>14.03</v>
      </c>
      <c r="D24" s="55">
        <v>0</v>
      </c>
      <c r="E24" s="55">
        <v>6.22</v>
      </c>
      <c r="F24" s="55">
        <v>6.14</v>
      </c>
      <c r="G24" s="55">
        <v>3.4399999999999977</v>
      </c>
      <c r="H24" s="56">
        <f>SUM(B24:G24)</f>
        <v>100</v>
      </c>
      <c r="I24" s="57"/>
      <c r="J24" s="53"/>
    </row>
    <row r="25" spans="1:10" ht="15" customHeight="1" thickBot="1" x14ac:dyDescent="0.35">
      <c r="A25" s="58" t="s">
        <v>48</v>
      </c>
      <c r="B25" s="59">
        <v>126306</v>
      </c>
      <c r="C25" s="59">
        <v>25254</v>
      </c>
      <c r="D25" s="59">
        <v>0</v>
      </c>
      <c r="E25" s="59">
        <v>11196</v>
      </c>
      <c r="F25" s="59">
        <v>11052</v>
      </c>
      <c r="G25" s="60">
        <v>6192</v>
      </c>
      <c r="H25" s="61">
        <f>SUM(B25:G25)</f>
        <v>180000</v>
      </c>
      <c r="I25" s="62"/>
      <c r="J25" s="63"/>
    </row>
    <row r="26" spans="1:10" ht="90" customHeight="1" x14ac:dyDescent="0.3">
      <c r="A26" s="64" t="s">
        <v>49</v>
      </c>
      <c r="B26" s="64"/>
      <c r="C26" s="64"/>
      <c r="D26" s="64"/>
      <c r="E26" s="64"/>
      <c r="F26" s="64"/>
      <c r="G26" s="64"/>
      <c r="H26" s="64"/>
      <c r="I26" s="64"/>
    </row>
    <row r="27" spans="1:10" ht="89.25" customHeight="1" x14ac:dyDescent="0.3">
      <c r="A27" s="64" t="s">
        <v>50</v>
      </c>
      <c r="B27" s="65"/>
      <c r="C27" s="65"/>
      <c r="D27" s="65"/>
      <c r="E27" s="65"/>
      <c r="F27" s="65"/>
      <c r="G27" s="65"/>
      <c r="H27" s="65"/>
      <c r="I27" s="65"/>
    </row>
    <row r="28" spans="1:10" ht="45.75" customHeight="1" x14ac:dyDescent="0.3">
      <c r="A28" s="64" t="s">
        <v>51</v>
      </c>
      <c r="B28" s="64"/>
      <c r="C28" s="64"/>
      <c r="D28" s="64"/>
      <c r="E28" s="64"/>
      <c r="F28" s="64"/>
      <c r="G28" s="64"/>
      <c r="H28" s="64"/>
      <c r="I28" s="64"/>
    </row>
    <row r="29" spans="1:10" ht="103.5" customHeight="1" x14ac:dyDescent="0.3">
      <c r="A29" s="64" t="s">
        <v>52</v>
      </c>
      <c r="B29" s="64"/>
      <c r="C29" s="64"/>
      <c r="D29" s="64"/>
      <c r="E29" s="64"/>
      <c r="F29" s="64"/>
      <c r="G29" s="64"/>
      <c r="H29" s="64"/>
      <c r="I29" s="64"/>
    </row>
    <row r="30" spans="1:10" ht="15" customHeight="1" x14ac:dyDescent="0.3">
      <c r="A30" s="66"/>
      <c r="B30" s="66"/>
      <c r="C30" s="66"/>
      <c r="D30" s="66"/>
      <c r="E30" s="67"/>
      <c r="F30" s="67" t="s">
        <v>53</v>
      </c>
      <c r="G30" s="66"/>
      <c r="H30" s="66"/>
      <c r="I30" s="68" t="s">
        <v>54</v>
      </c>
    </row>
    <row r="31" spans="1:10" ht="20.25" customHeight="1" x14ac:dyDescent="0.3">
      <c r="A31" s="27" t="s">
        <v>55</v>
      </c>
    </row>
    <row r="32" spans="1:10" ht="19.5" customHeight="1" x14ac:dyDescent="0.3">
      <c r="B32" s="10" t="s">
        <v>56</v>
      </c>
      <c r="C32" s="10" t="s">
        <v>57</v>
      </c>
      <c r="D32" s="10" t="s">
        <v>58</v>
      </c>
      <c r="E32" s="10" t="s">
        <v>59</v>
      </c>
      <c r="F32" s="69" t="s">
        <v>60</v>
      </c>
      <c r="G32" s="69"/>
      <c r="H32" s="69"/>
    </row>
    <row r="33" spans="1:9" ht="15" customHeight="1" x14ac:dyDescent="0.3">
      <c r="B33" s="70"/>
      <c r="C33" s="70"/>
      <c r="D33" s="70"/>
      <c r="E33" s="70"/>
      <c r="F33" s="69"/>
      <c r="G33" s="69"/>
      <c r="H33" s="69"/>
    </row>
    <row r="34" spans="1:9" ht="15" customHeight="1" x14ac:dyDescent="0.3">
      <c r="A34" s="2" t="s">
        <v>61</v>
      </c>
      <c r="H34" s="71" t="str">
        <f>$C$6</f>
        <v>공붕비</v>
      </c>
      <c r="I34" s="71" t="s">
        <v>62</v>
      </c>
    </row>
    <row r="35" spans="1:9" ht="8.25" customHeight="1" x14ac:dyDescent="0.3"/>
    <row r="36" spans="1:9" ht="15" customHeight="1" x14ac:dyDescent="0.3">
      <c r="A36" s="72" t="s">
        <v>63</v>
      </c>
      <c r="B36" s="72"/>
      <c r="C36" s="72"/>
      <c r="D36" s="72"/>
      <c r="E36" s="72"/>
      <c r="F36" s="72"/>
      <c r="G36" s="72"/>
      <c r="H36" s="72"/>
      <c r="I36" s="72"/>
    </row>
    <row r="37" spans="1:9" ht="8.25" customHeight="1" x14ac:dyDescent="0.3"/>
    <row r="38" spans="1:9" ht="18.95" customHeight="1" x14ac:dyDescent="0.3">
      <c r="A38" s="73" t="str">
        <f>$C$10</f>
        <v>2025년 10월 19일</v>
      </c>
      <c r="B38" s="73"/>
      <c r="C38" s="73"/>
      <c r="D38" s="73"/>
      <c r="E38" s="73"/>
      <c r="F38" s="73"/>
      <c r="G38" s="73"/>
      <c r="H38" s="73"/>
      <c r="I38" s="73"/>
    </row>
    <row r="39" spans="1:9" ht="15" customHeight="1" x14ac:dyDescent="0.3">
      <c r="A39" s="2" t="s">
        <v>64</v>
      </c>
      <c r="B39" s="74" t="s">
        <v>4</v>
      </c>
      <c r="C39" s="27"/>
      <c r="F39" s="2" t="s">
        <v>65</v>
      </c>
      <c r="G39" s="72" t="str">
        <f>$C$6</f>
        <v>공붕비</v>
      </c>
      <c r="H39" s="72"/>
      <c r="I39" s="71" t="s">
        <v>62</v>
      </c>
    </row>
    <row r="40" spans="1:9" ht="18.95" customHeight="1" x14ac:dyDescent="0.3">
      <c r="B40" s="72" t="s">
        <v>5</v>
      </c>
      <c r="C40" s="72"/>
      <c r="D40" s="71" t="s">
        <v>6</v>
      </c>
      <c r="E40" s="71" t="s">
        <v>62</v>
      </c>
    </row>
    <row r="41" spans="1:9" ht="18.95" customHeight="1" x14ac:dyDescent="0.3">
      <c r="B41" s="72" t="s">
        <v>66</v>
      </c>
      <c r="C41" s="72"/>
    </row>
  </sheetData>
  <mergeCells count="33">
    <mergeCell ref="A36:I36"/>
    <mergeCell ref="A38:I38"/>
    <mergeCell ref="G39:H39"/>
    <mergeCell ref="B40:C40"/>
    <mergeCell ref="B41:C41"/>
    <mergeCell ref="A26:I26"/>
    <mergeCell ref="A27:I27"/>
    <mergeCell ref="A28:I28"/>
    <mergeCell ref="A29:I29"/>
    <mergeCell ref="F32:H32"/>
    <mergeCell ref="F33:H33"/>
    <mergeCell ref="B20:C20"/>
    <mergeCell ref="A21:A22"/>
    <mergeCell ref="H21:I22"/>
    <mergeCell ref="H23:I23"/>
    <mergeCell ref="H24:I24"/>
    <mergeCell ref="H25:I25"/>
    <mergeCell ref="A8:I8"/>
    <mergeCell ref="C10:D10"/>
    <mergeCell ref="E10:F10"/>
    <mergeCell ref="C13:E13"/>
    <mergeCell ref="F13:G13"/>
    <mergeCell ref="H13:I13"/>
    <mergeCell ref="A2:I2"/>
    <mergeCell ref="A4:A5"/>
    <mergeCell ref="C4:F4"/>
    <mergeCell ref="H4:I4"/>
    <mergeCell ref="C5:I5"/>
    <mergeCell ref="A6:A7"/>
    <mergeCell ref="C6:D6"/>
    <mergeCell ref="E6:F6"/>
    <mergeCell ref="G6:I6"/>
    <mergeCell ref="C7:I7"/>
  </mergeCells>
  <phoneticPr fontId="3" type="noConversion"/>
  <printOptions horizontalCentered="1"/>
  <pageMargins left="0.19685039370078741" right="0.19685039370078741" top="0.39370078740157483" bottom="0.19685039370078741" header="0.39370078740157483" footer="0.19685039370078741"/>
  <pageSetup paperSize="9" scale="84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근로계약서</vt:lpstr>
      <vt:lpstr>근로계약서!Print_Area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서재형</dc:creator>
  <cp:lastModifiedBy>서재형</cp:lastModifiedBy>
  <dcterms:created xsi:type="dcterms:W3CDTF">2026-07-22T00:36:37Z</dcterms:created>
  <dcterms:modified xsi:type="dcterms:W3CDTF">2026-07-22T00:37:09Z</dcterms:modified>
</cp:coreProperties>
</file>