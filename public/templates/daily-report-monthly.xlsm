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dacin\OneDrive\바탕 화면\26년09월_한라건설_용인금어지구 출력일보_욱림건설 (5)\"/>
    </mc:Choice>
  </mc:AlternateContent>
  <xr:revisionPtr revIDLastSave="0" documentId="13_ncr:1_{B85D77A0-637B-4C3B-A6F1-D6D0A3142B51}" xr6:coauthVersionLast="47" xr6:coauthVersionMax="47" xr10:uidLastSave="{00000000-0000-0000-0000-000000000000}"/>
  <bookViews>
    <workbookView xWindow="-120" yWindow="-120" windowWidth="29040" windowHeight="15720" tabRatio="803" xr2:uid="{00000000-000D-0000-FFFF-FFFF00000000}"/>
  </bookViews>
  <sheets>
    <sheet name="노임검토" sheetId="35" r:id="rId1"/>
    <sheet name="261001" sheetId="1" r:id="rId2"/>
    <sheet name="261002" sheetId="68" r:id="rId3"/>
    <sheet name="261003" sheetId="69" r:id="rId4"/>
    <sheet name="261004" sheetId="70" r:id="rId5"/>
    <sheet name="261005" sheetId="71" r:id="rId6"/>
    <sheet name="261006" sheetId="72" r:id="rId7"/>
    <sheet name="261007" sheetId="73" r:id="rId8"/>
    <sheet name="261008" sheetId="74" r:id="rId9"/>
    <sheet name="261009" sheetId="75" r:id="rId10"/>
    <sheet name="261010" sheetId="76" r:id="rId11"/>
    <sheet name="261011" sheetId="77" r:id="rId12"/>
    <sheet name="261012" sheetId="78" r:id="rId13"/>
    <sheet name="261013" sheetId="79" r:id="rId14"/>
    <sheet name="261014" sheetId="80" r:id="rId15"/>
    <sheet name="261015" sheetId="81" r:id="rId16"/>
    <sheet name="261016" sheetId="82" r:id="rId17"/>
    <sheet name="261017" sheetId="83" r:id="rId18"/>
    <sheet name="261018" sheetId="84" r:id="rId19"/>
    <sheet name="261019" sheetId="85" r:id="rId20"/>
    <sheet name="261020" sheetId="86" r:id="rId21"/>
    <sheet name="261021" sheetId="87" r:id="rId22"/>
    <sheet name="261022" sheetId="88" r:id="rId23"/>
    <sheet name="261023" sheetId="89" r:id="rId24"/>
    <sheet name="261024" sheetId="90" r:id="rId25"/>
    <sheet name="261025" sheetId="91" r:id="rId26"/>
    <sheet name="261026" sheetId="92" r:id="rId27"/>
    <sheet name="261027" sheetId="93" r:id="rId28"/>
    <sheet name="261028" sheetId="94" r:id="rId29"/>
    <sheet name="261029" sheetId="95" r:id="rId30"/>
    <sheet name="261030" sheetId="96" r:id="rId31"/>
    <sheet name="261031" sheetId="97" r:id="rId32"/>
  </sheets>
  <definedNames>
    <definedName name="_xlnm._FilterDatabase" localSheetId="0" hidden="1">노임검토!$B$2:$AJ$206</definedName>
    <definedName name="_xlnm.Print_Area" localSheetId="1">'261001'!$A$1:$L$47</definedName>
    <definedName name="_xlnm.Print_Area" localSheetId="2">'261002'!$A$1:$L$47</definedName>
    <definedName name="_xlnm.Print_Area" localSheetId="3">'261003'!$A$1:$L$47</definedName>
    <definedName name="_xlnm.Print_Area" localSheetId="4">'261004'!$A$1:$L$47</definedName>
    <definedName name="_xlnm.Print_Area" localSheetId="5">'261005'!$A$1:$L$47</definedName>
    <definedName name="_xlnm.Print_Area" localSheetId="6">'261006'!$A$1:$L$47</definedName>
    <definedName name="_xlnm.Print_Area" localSheetId="7">'261007'!$A$1:$L$47</definedName>
    <definedName name="_xlnm.Print_Area" localSheetId="8">'261008'!$A$1:$L$47</definedName>
    <definedName name="_xlnm.Print_Area" localSheetId="9">'261009'!$A$1:$L$47</definedName>
    <definedName name="_xlnm.Print_Area" localSheetId="10">'261010'!$A$1:$L$47</definedName>
    <definedName name="_xlnm.Print_Area" localSheetId="11">'261011'!$A$1:$L$47</definedName>
    <definedName name="_xlnm.Print_Area" localSheetId="12">'261012'!$A$1:$L$47</definedName>
    <definedName name="_xlnm.Print_Area" localSheetId="13">'261013'!$A$1:$L$47</definedName>
    <definedName name="_xlnm.Print_Area" localSheetId="14">'261014'!$A$1:$L$47</definedName>
    <definedName name="_xlnm.Print_Area" localSheetId="15">'261015'!$A$1:$L$47</definedName>
    <definedName name="_xlnm.Print_Area" localSheetId="16">'261016'!$A$1:$L$47</definedName>
    <definedName name="_xlnm.Print_Area" localSheetId="17">'261017'!$A$1:$L$47</definedName>
    <definedName name="_xlnm.Print_Area" localSheetId="18">'261018'!$A$1:$L$47</definedName>
    <definedName name="_xlnm.Print_Area" localSheetId="19">'261019'!$A$1:$L$47</definedName>
    <definedName name="_xlnm.Print_Area" localSheetId="20">'261020'!$A$1:$L$47</definedName>
    <definedName name="_xlnm.Print_Area" localSheetId="21">'261021'!$A$1:$L$47</definedName>
    <definedName name="_xlnm.Print_Area" localSheetId="22">'261022'!$A$1:$L$47</definedName>
    <definedName name="_xlnm.Print_Area" localSheetId="23">'261023'!$A$1:$L$47</definedName>
    <definedName name="_xlnm.Print_Area" localSheetId="24">'261024'!$A$1:$L$47</definedName>
    <definedName name="_xlnm.Print_Area" localSheetId="25">'261025'!$A$1:$L$47</definedName>
    <definedName name="_xlnm.Print_Area" localSheetId="26">'261026'!$A$1:$L$47</definedName>
    <definedName name="_xlnm.Print_Area" localSheetId="27">'261027'!$A$1:$L$47</definedName>
    <definedName name="_xlnm.Print_Area" localSheetId="28">'261028'!$A$1:$L$47</definedName>
    <definedName name="_xlnm.Print_Area" localSheetId="29">'261029'!$A$1:$L$47</definedName>
    <definedName name="_xlnm.Print_Area" localSheetId="30">'261030'!$A$1:$L$47</definedName>
    <definedName name="_xlnm.Print_Area" localSheetId="31">'261031'!$A$1:$L$47</definedName>
    <definedName name="_xlnm.Print_Area" localSheetId="0">노임검토!$B$2:$AJ$206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69" l="1"/>
  <c r="H13" i="69"/>
  <c r="H12" i="69"/>
  <c r="H11" i="69"/>
  <c r="H10" i="69"/>
  <c r="H9" i="69"/>
  <c r="H8" i="69"/>
  <c r="H14" i="70"/>
  <c r="H13" i="70"/>
  <c r="H12" i="70"/>
  <c r="H11" i="70"/>
  <c r="H10" i="70"/>
  <c r="H9" i="70"/>
  <c r="H8" i="70"/>
  <c r="H14" i="71"/>
  <c r="H13" i="71"/>
  <c r="H12" i="71"/>
  <c r="H11" i="71"/>
  <c r="H10" i="71"/>
  <c r="H9" i="71"/>
  <c r="H8" i="71"/>
  <c r="H14" i="72"/>
  <c r="H13" i="72"/>
  <c r="H12" i="72"/>
  <c r="H11" i="72"/>
  <c r="H10" i="72"/>
  <c r="H9" i="72"/>
  <c r="H8" i="72"/>
  <c r="H14" i="73"/>
  <c r="H13" i="73"/>
  <c r="H12" i="73"/>
  <c r="H11" i="73"/>
  <c r="H10" i="73"/>
  <c r="H9" i="73"/>
  <c r="H8" i="73"/>
  <c r="H14" i="74"/>
  <c r="H13" i="74"/>
  <c r="H12" i="74"/>
  <c r="H11" i="74"/>
  <c r="H10" i="74"/>
  <c r="H9" i="74"/>
  <c r="H8" i="74"/>
  <c r="H14" i="75"/>
  <c r="H13" i="75"/>
  <c r="H12" i="75"/>
  <c r="H11" i="75"/>
  <c r="H10" i="75"/>
  <c r="H9" i="75"/>
  <c r="H8" i="75"/>
  <c r="H14" i="76"/>
  <c r="H13" i="76"/>
  <c r="H12" i="76"/>
  <c r="H11" i="76"/>
  <c r="H10" i="76"/>
  <c r="H9" i="76"/>
  <c r="H8" i="76"/>
  <c r="H14" i="77"/>
  <c r="H13" i="77"/>
  <c r="H12" i="77"/>
  <c r="H11" i="77"/>
  <c r="H10" i="77"/>
  <c r="H9" i="77"/>
  <c r="H8" i="77"/>
  <c r="H14" i="78"/>
  <c r="H13" i="78"/>
  <c r="H12" i="78"/>
  <c r="H11" i="78"/>
  <c r="H10" i="78"/>
  <c r="H9" i="78"/>
  <c r="H8" i="78"/>
  <c r="H14" i="79"/>
  <c r="H13" i="79"/>
  <c r="H12" i="79"/>
  <c r="H11" i="79"/>
  <c r="H10" i="79"/>
  <c r="H9" i="79"/>
  <c r="H8" i="79"/>
  <c r="H14" i="80"/>
  <c r="H13" i="80"/>
  <c r="H12" i="80"/>
  <c r="H11" i="80"/>
  <c r="H10" i="80"/>
  <c r="H9" i="80"/>
  <c r="H8" i="80"/>
  <c r="H14" i="81"/>
  <c r="H13" i="81"/>
  <c r="H12" i="81"/>
  <c r="H11" i="81"/>
  <c r="H10" i="81"/>
  <c r="H9" i="81"/>
  <c r="H8" i="81"/>
  <c r="H14" i="82"/>
  <c r="H13" i="82"/>
  <c r="H12" i="82"/>
  <c r="H11" i="82"/>
  <c r="H10" i="82"/>
  <c r="H9" i="82"/>
  <c r="H8" i="82"/>
  <c r="H14" i="83"/>
  <c r="H13" i="83"/>
  <c r="H12" i="83"/>
  <c r="H11" i="83"/>
  <c r="H10" i="83"/>
  <c r="H9" i="83"/>
  <c r="H8" i="83"/>
  <c r="H14" i="84"/>
  <c r="H13" i="84"/>
  <c r="H12" i="84"/>
  <c r="H11" i="84"/>
  <c r="H10" i="84"/>
  <c r="H9" i="84"/>
  <c r="H8" i="84"/>
  <c r="H14" i="85"/>
  <c r="H13" i="85"/>
  <c r="H12" i="85"/>
  <c r="H11" i="85"/>
  <c r="H10" i="85"/>
  <c r="H9" i="85"/>
  <c r="H8" i="85"/>
  <c r="H14" i="86"/>
  <c r="H13" i="86"/>
  <c r="H12" i="86"/>
  <c r="H11" i="86"/>
  <c r="H10" i="86"/>
  <c r="H9" i="86"/>
  <c r="H8" i="86"/>
  <c r="H14" i="87"/>
  <c r="H13" i="87"/>
  <c r="H12" i="87"/>
  <c r="H11" i="87"/>
  <c r="H10" i="87"/>
  <c r="H9" i="87"/>
  <c r="H8" i="87"/>
  <c r="H14" i="88"/>
  <c r="H13" i="88"/>
  <c r="H12" i="88"/>
  <c r="H11" i="88"/>
  <c r="H10" i="88"/>
  <c r="H9" i="88"/>
  <c r="H8" i="88"/>
  <c r="H14" i="89"/>
  <c r="H13" i="89"/>
  <c r="H12" i="89"/>
  <c r="H11" i="89"/>
  <c r="H10" i="89"/>
  <c r="H9" i="89"/>
  <c r="H8" i="89"/>
  <c r="H14" i="90"/>
  <c r="H13" i="90"/>
  <c r="H12" i="90"/>
  <c r="H11" i="90"/>
  <c r="H10" i="90"/>
  <c r="H9" i="90"/>
  <c r="H8" i="90"/>
  <c r="H14" i="91"/>
  <c r="H13" i="91"/>
  <c r="H12" i="91"/>
  <c r="H11" i="91"/>
  <c r="H10" i="91"/>
  <c r="H9" i="91"/>
  <c r="H8" i="91"/>
  <c r="H14" i="92"/>
  <c r="H13" i="92"/>
  <c r="H12" i="92"/>
  <c r="H11" i="92"/>
  <c r="H10" i="92"/>
  <c r="H9" i="92"/>
  <c r="H8" i="92"/>
  <c r="H14" i="93"/>
  <c r="H13" i="93"/>
  <c r="H12" i="93"/>
  <c r="H11" i="93"/>
  <c r="H10" i="93"/>
  <c r="H9" i="93"/>
  <c r="H8" i="93"/>
  <c r="H14" i="94"/>
  <c r="H13" i="94"/>
  <c r="H12" i="94"/>
  <c r="H11" i="94"/>
  <c r="H10" i="94"/>
  <c r="H9" i="94"/>
  <c r="H8" i="94"/>
  <c r="H14" i="95"/>
  <c r="H13" i="95"/>
  <c r="H12" i="95"/>
  <c r="H11" i="95"/>
  <c r="H10" i="95"/>
  <c r="H9" i="95"/>
  <c r="H8" i="95"/>
  <c r="H14" i="96"/>
  <c r="H13" i="96"/>
  <c r="H12" i="96"/>
  <c r="H11" i="96"/>
  <c r="H10" i="96"/>
  <c r="H9" i="96"/>
  <c r="H8" i="96"/>
  <c r="H14" i="97"/>
  <c r="H13" i="97"/>
  <c r="H12" i="97"/>
  <c r="H11" i="97"/>
  <c r="H10" i="97"/>
  <c r="H9" i="97"/>
  <c r="H8" i="97"/>
  <c r="H14" i="68"/>
  <c r="H13" i="68"/>
  <c r="H12" i="68"/>
  <c r="H11" i="68"/>
  <c r="H10" i="68"/>
  <c r="H9" i="68"/>
  <c r="H8" i="68"/>
  <c r="B14" i="69"/>
  <c r="B13" i="69"/>
  <c r="B12" i="69"/>
  <c r="B11" i="69"/>
  <c r="B10" i="69"/>
  <c r="B9" i="69"/>
  <c r="B14" i="70"/>
  <c r="B13" i="70"/>
  <c r="B12" i="70"/>
  <c r="B11" i="70"/>
  <c r="B10" i="70"/>
  <c r="B9" i="70"/>
  <c r="B14" i="71"/>
  <c r="B13" i="71"/>
  <c r="B12" i="71"/>
  <c r="B11" i="71"/>
  <c r="B10" i="71"/>
  <c r="B9" i="71"/>
  <c r="B14" i="72"/>
  <c r="B13" i="72"/>
  <c r="B12" i="72"/>
  <c r="B11" i="72"/>
  <c r="B10" i="72"/>
  <c r="B9" i="72"/>
  <c r="B14" i="73"/>
  <c r="B13" i="73"/>
  <c r="B12" i="73"/>
  <c r="B11" i="73"/>
  <c r="B10" i="73"/>
  <c r="B9" i="73"/>
  <c r="B14" i="74"/>
  <c r="B13" i="74"/>
  <c r="B12" i="74"/>
  <c r="B11" i="74"/>
  <c r="B10" i="74"/>
  <c r="B9" i="74"/>
  <c r="B14" i="75"/>
  <c r="B13" i="75"/>
  <c r="B12" i="75"/>
  <c r="B11" i="75"/>
  <c r="B10" i="75"/>
  <c r="B9" i="75"/>
  <c r="B14" i="76"/>
  <c r="B13" i="76"/>
  <c r="B12" i="76"/>
  <c r="B11" i="76"/>
  <c r="B10" i="76"/>
  <c r="B9" i="76"/>
  <c r="B14" i="77"/>
  <c r="B13" i="77"/>
  <c r="B12" i="77"/>
  <c r="B11" i="77"/>
  <c r="B10" i="77"/>
  <c r="B9" i="77"/>
  <c r="B14" i="78"/>
  <c r="B13" i="78"/>
  <c r="B12" i="78"/>
  <c r="B11" i="78"/>
  <c r="B10" i="78"/>
  <c r="B9" i="78"/>
  <c r="B14" i="79"/>
  <c r="B13" i="79"/>
  <c r="B12" i="79"/>
  <c r="B11" i="79"/>
  <c r="B10" i="79"/>
  <c r="B9" i="79"/>
  <c r="B14" i="80"/>
  <c r="B13" i="80"/>
  <c r="B12" i="80"/>
  <c r="B11" i="80"/>
  <c r="B10" i="80"/>
  <c r="B9" i="80"/>
  <c r="B14" i="81"/>
  <c r="B13" i="81"/>
  <c r="B12" i="81"/>
  <c r="B11" i="81"/>
  <c r="B10" i="81"/>
  <c r="B9" i="81"/>
  <c r="B14" i="82"/>
  <c r="B13" i="82"/>
  <c r="B12" i="82"/>
  <c r="B11" i="82"/>
  <c r="B10" i="82"/>
  <c r="B9" i="82"/>
  <c r="B14" i="83"/>
  <c r="B13" i="83"/>
  <c r="B12" i="83"/>
  <c r="B11" i="83"/>
  <c r="B10" i="83"/>
  <c r="B9" i="83"/>
  <c r="B14" i="84"/>
  <c r="B13" i="84"/>
  <c r="B12" i="84"/>
  <c r="B11" i="84"/>
  <c r="B10" i="84"/>
  <c r="B9" i="84"/>
  <c r="B14" i="85"/>
  <c r="B13" i="85"/>
  <c r="B12" i="85"/>
  <c r="B11" i="85"/>
  <c r="B10" i="85"/>
  <c r="B9" i="85"/>
  <c r="B14" i="86"/>
  <c r="B13" i="86"/>
  <c r="B12" i="86"/>
  <c r="B11" i="86"/>
  <c r="B10" i="86"/>
  <c r="B9" i="86"/>
  <c r="B14" i="87"/>
  <c r="B13" i="87"/>
  <c r="B12" i="87"/>
  <c r="B11" i="87"/>
  <c r="B10" i="87"/>
  <c r="B9" i="87"/>
  <c r="B14" i="88"/>
  <c r="B13" i="88"/>
  <c r="B12" i="88"/>
  <c r="B11" i="88"/>
  <c r="B10" i="88"/>
  <c r="B9" i="88"/>
  <c r="B14" i="89"/>
  <c r="B13" i="89"/>
  <c r="B12" i="89"/>
  <c r="B11" i="89"/>
  <c r="B10" i="89"/>
  <c r="B9" i="89"/>
  <c r="B14" i="90"/>
  <c r="B13" i="90"/>
  <c r="B12" i="90"/>
  <c r="B11" i="90"/>
  <c r="B10" i="90"/>
  <c r="B9" i="90"/>
  <c r="B14" i="91"/>
  <c r="B13" i="91"/>
  <c r="B12" i="91"/>
  <c r="B11" i="91"/>
  <c r="B10" i="91"/>
  <c r="B9" i="91"/>
  <c r="B14" i="92"/>
  <c r="B13" i="92"/>
  <c r="B12" i="92"/>
  <c r="B11" i="92"/>
  <c r="B10" i="92"/>
  <c r="B9" i="92"/>
  <c r="B14" i="93"/>
  <c r="B13" i="93"/>
  <c r="B12" i="93"/>
  <c r="B11" i="93"/>
  <c r="B10" i="93"/>
  <c r="B9" i="93"/>
  <c r="B14" i="94"/>
  <c r="B13" i="94"/>
  <c r="B12" i="94"/>
  <c r="B11" i="94"/>
  <c r="B10" i="94"/>
  <c r="B9" i="94"/>
  <c r="B14" i="95"/>
  <c r="B13" i="95"/>
  <c r="B12" i="95"/>
  <c r="B11" i="95"/>
  <c r="B10" i="95"/>
  <c r="B9" i="95"/>
  <c r="B14" i="96"/>
  <c r="B13" i="96"/>
  <c r="B12" i="96"/>
  <c r="B11" i="96"/>
  <c r="B10" i="96"/>
  <c r="B9" i="96"/>
  <c r="B14" i="97"/>
  <c r="B13" i="97"/>
  <c r="B12" i="97"/>
  <c r="B11" i="97"/>
  <c r="B10" i="97"/>
  <c r="B9" i="97"/>
  <c r="B14" i="68"/>
  <c r="B13" i="68"/>
  <c r="B12" i="68"/>
  <c r="B11" i="68"/>
  <c r="B10" i="68"/>
  <c r="B9" i="68"/>
  <c r="B8" i="69"/>
  <c r="B8" i="70"/>
  <c r="B8" i="71"/>
  <c r="B8" i="72"/>
  <c r="B8" i="73"/>
  <c r="B8" i="74"/>
  <c r="B8" i="75"/>
  <c r="B8" i="76"/>
  <c r="B8" i="77"/>
  <c r="B8" i="78"/>
  <c r="B8" i="79"/>
  <c r="B8" i="80"/>
  <c r="B8" i="81"/>
  <c r="B8" i="82"/>
  <c r="B8" i="83"/>
  <c r="B8" i="84"/>
  <c r="B8" i="85"/>
  <c r="B8" i="86"/>
  <c r="B8" i="87"/>
  <c r="B8" i="88"/>
  <c r="B8" i="89"/>
  <c r="B8" i="90"/>
  <c r="B8" i="91"/>
  <c r="B8" i="92"/>
  <c r="B8" i="93"/>
  <c r="B8" i="94"/>
  <c r="B8" i="95"/>
  <c r="B8" i="96"/>
  <c r="B8" i="97"/>
  <c r="B8" i="68"/>
  <c r="N7" i="69"/>
  <c r="N7" i="70"/>
  <c r="N7" i="71"/>
  <c r="N7" i="72"/>
  <c r="N7" i="73"/>
  <c r="N7" i="74"/>
  <c r="N7" i="75"/>
  <c r="N7" i="76"/>
  <c r="N7" i="77"/>
  <c r="N7" i="78"/>
  <c r="N7" i="79"/>
  <c r="N7" i="80"/>
  <c r="N7" i="81"/>
  <c r="N7" i="82"/>
  <c r="N7" i="83"/>
  <c r="N7" i="84"/>
  <c r="N7" i="85"/>
  <c r="N7" i="86"/>
  <c r="N7" i="87"/>
  <c r="N7" i="88"/>
  <c r="N7" i="89"/>
  <c r="N7" i="90"/>
  <c r="N7" i="91"/>
  <c r="N7" i="92"/>
  <c r="N7" i="93"/>
  <c r="N7" i="94"/>
  <c r="N7" i="95"/>
  <c r="N7" i="96"/>
  <c r="N7" i="97"/>
  <c r="N7" i="68"/>
  <c r="N6" i="1"/>
  <c r="N7" i="1"/>
  <c r="I11" i="84" l="1"/>
  <c r="G19" i="81" l="1"/>
  <c r="G20" i="81" s="1"/>
  <c r="G21" i="81" s="1"/>
  <c r="G22" i="81" s="1"/>
  <c r="G23" i="81" s="1"/>
  <c r="G24" i="81" s="1"/>
  <c r="G25" i="81" s="1"/>
  <c r="G26" i="81" s="1"/>
  <c r="G27" i="81" s="1"/>
  <c r="G28" i="81" s="1"/>
  <c r="G29" i="81" s="1"/>
  <c r="G30" i="81" s="1"/>
  <c r="G31" i="81" s="1"/>
  <c r="G32" i="81" s="1"/>
  <c r="G33" i="81" s="1"/>
  <c r="G34" i="81" s="1"/>
  <c r="G35" i="81" s="1"/>
  <c r="G36" i="81" s="1"/>
  <c r="G37" i="81" s="1"/>
  <c r="G38" i="81" s="1"/>
  <c r="G39" i="81" s="1"/>
  <c r="G40" i="81" s="1"/>
  <c r="G41" i="81" s="1"/>
  <c r="G42" i="81" s="1"/>
  <c r="G43" i="81" s="1"/>
  <c r="G44" i="81" s="1"/>
  <c r="G45" i="81" s="1"/>
  <c r="G46" i="81" s="1"/>
  <c r="G47" i="81" s="1"/>
  <c r="R33" i="79" l="1"/>
  <c r="G9" i="84" l="1"/>
  <c r="G10" i="84" s="1"/>
  <c r="G11" i="84" s="1"/>
  <c r="G12" i="84" s="1"/>
  <c r="G13" i="84" s="1"/>
  <c r="G14" i="84" s="1"/>
  <c r="G9" i="81"/>
  <c r="G10" i="81" s="1"/>
  <c r="G11" i="81" s="1"/>
  <c r="G12" i="81" s="1"/>
  <c r="G13" i="81" s="1"/>
  <c r="G14" i="81" s="1"/>
  <c r="G9" i="91" l="1"/>
  <c r="G10" i="91" s="1"/>
  <c r="G11" i="91" s="1"/>
  <c r="G12" i="91" s="1"/>
  <c r="G13" i="91" s="1"/>
  <c r="G14" i="91" s="1"/>
  <c r="I14" i="95"/>
  <c r="G9" i="73"/>
  <c r="G10" i="73" s="1"/>
  <c r="G11" i="73" s="1"/>
  <c r="G12" i="73" s="1"/>
  <c r="G13" i="73" s="1"/>
  <c r="G14" i="73" s="1"/>
  <c r="A9" i="73"/>
  <c r="A10" i="73" s="1"/>
  <c r="A11" i="73" s="1"/>
  <c r="A12" i="73" s="1"/>
  <c r="A13" i="73" s="1"/>
  <c r="A14" i="73" s="1"/>
  <c r="G9" i="72"/>
  <c r="G10" i="72" s="1"/>
  <c r="G11" i="72" s="1"/>
  <c r="G12" i="72" s="1"/>
  <c r="G13" i="72" s="1"/>
  <c r="G14" i="72" s="1"/>
  <c r="A9" i="70"/>
  <c r="A10" i="70" s="1"/>
  <c r="A11" i="70" s="1"/>
  <c r="A12" i="70" s="1"/>
  <c r="A13" i="70" s="1"/>
  <c r="A14" i="70" s="1"/>
  <c r="G9" i="70"/>
  <c r="G10" i="70" s="1"/>
  <c r="G11" i="70" s="1"/>
  <c r="G12" i="70" s="1"/>
  <c r="G13" i="70" s="1"/>
  <c r="G14" i="70" s="1"/>
  <c r="C5" i="1"/>
  <c r="C13" i="68"/>
  <c r="I14" i="90" l="1"/>
  <c r="L14" i="90" s="1"/>
  <c r="I14" i="86"/>
  <c r="I14" i="87"/>
  <c r="I14" i="89"/>
  <c r="C14" i="78"/>
  <c r="I14" i="85"/>
  <c r="I14" i="70"/>
  <c r="I14" i="68"/>
  <c r="C14" i="68"/>
  <c r="G9" i="71"/>
  <c r="G10" i="71" s="1"/>
  <c r="G11" i="71" s="1"/>
  <c r="G12" i="71" s="1"/>
  <c r="G13" i="71" s="1"/>
  <c r="G14" i="71" s="1"/>
  <c r="I14" i="71"/>
  <c r="I14" i="69"/>
  <c r="G9" i="69"/>
  <c r="G10" i="69" s="1"/>
  <c r="G11" i="69" s="1"/>
  <c r="G12" i="69" s="1"/>
  <c r="G13" i="69" s="1"/>
  <c r="G14" i="69" s="1"/>
  <c r="A9" i="69"/>
  <c r="A10" i="69" s="1"/>
  <c r="A11" i="69" s="1"/>
  <c r="A12" i="69" s="1"/>
  <c r="A13" i="69" s="1"/>
  <c r="A14" i="69" s="1"/>
  <c r="G9" i="68"/>
  <c r="G10" i="68" s="1"/>
  <c r="G11" i="68" s="1"/>
  <c r="G12" i="68" s="1"/>
  <c r="G13" i="68" s="1"/>
  <c r="G14" i="68" s="1"/>
  <c r="A9" i="68"/>
  <c r="A10" i="68" s="1"/>
  <c r="A11" i="68" s="1"/>
  <c r="A12" i="68" s="1"/>
  <c r="A13" i="68" s="1"/>
  <c r="A14" i="68" s="1"/>
  <c r="G9" i="1"/>
  <c r="G10" i="1" s="1"/>
  <c r="G11" i="1" s="1"/>
  <c r="G12" i="1" s="1"/>
  <c r="G13" i="1" s="1"/>
  <c r="G14" i="1" s="1"/>
  <c r="A9" i="1"/>
  <c r="A10" i="1" s="1"/>
  <c r="A11" i="1" s="1"/>
  <c r="A12" i="1" s="1"/>
  <c r="A13" i="1" s="1"/>
  <c r="A14" i="1" s="1"/>
  <c r="I14" i="1"/>
  <c r="L14" i="1" s="1"/>
  <c r="K14" i="68" s="1"/>
  <c r="C14" i="1"/>
  <c r="F14" i="1" s="1"/>
  <c r="E14" i="68" s="1"/>
  <c r="G9" i="97"/>
  <c r="G10" i="97" s="1"/>
  <c r="G11" i="97" s="1"/>
  <c r="G12" i="97" s="1"/>
  <c r="G13" i="97" s="1"/>
  <c r="G14" i="97" s="1"/>
  <c r="A9" i="97"/>
  <c r="A10" i="97" s="1"/>
  <c r="A11" i="97" s="1"/>
  <c r="A12" i="97" s="1"/>
  <c r="A13" i="97" s="1"/>
  <c r="A14" i="97" s="1"/>
  <c r="G9" i="96"/>
  <c r="G10" i="96" s="1"/>
  <c r="G11" i="96" s="1"/>
  <c r="G12" i="96" s="1"/>
  <c r="G13" i="96" s="1"/>
  <c r="G14" i="96" s="1"/>
  <c r="A9" i="96"/>
  <c r="A10" i="96" s="1"/>
  <c r="A11" i="96" s="1"/>
  <c r="A12" i="96" s="1"/>
  <c r="A13" i="96" s="1"/>
  <c r="A14" i="96" s="1"/>
  <c r="I14" i="96"/>
  <c r="G9" i="95"/>
  <c r="G10" i="95" s="1"/>
  <c r="G11" i="95" s="1"/>
  <c r="G12" i="95" s="1"/>
  <c r="G13" i="95" s="1"/>
  <c r="G14" i="95" s="1"/>
  <c r="A9" i="95"/>
  <c r="A10" i="95" s="1"/>
  <c r="A11" i="95" s="1"/>
  <c r="A12" i="95" s="1"/>
  <c r="A13" i="95" s="1"/>
  <c r="A14" i="95" s="1"/>
  <c r="G9" i="94"/>
  <c r="G10" i="94" s="1"/>
  <c r="G11" i="94" s="1"/>
  <c r="G12" i="94" s="1"/>
  <c r="G13" i="94" s="1"/>
  <c r="G14" i="94" s="1"/>
  <c r="A9" i="94"/>
  <c r="A10" i="94" s="1"/>
  <c r="A11" i="94" s="1"/>
  <c r="A12" i="94" s="1"/>
  <c r="A13" i="94" s="1"/>
  <c r="A14" i="94" s="1"/>
  <c r="I14" i="94"/>
  <c r="G9" i="93"/>
  <c r="G10" i="93" s="1"/>
  <c r="G11" i="93" s="1"/>
  <c r="G12" i="93" s="1"/>
  <c r="G13" i="93" s="1"/>
  <c r="G14" i="93" s="1"/>
  <c r="A9" i="93"/>
  <c r="A10" i="93" s="1"/>
  <c r="A11" i="93" s="1"/>
  <c r="A12" i="93" s="1"/>
  <c r="A13" i="93" s="1"/>
  <c r="A14" i="93" s="1"/>
  <c r="G9" i="92"/>
  <c r="G10" i="92" s="1"/>
  <c r="G11" i="92" s="1"/>
  <c r="G12" i="92" s="1"/>
  <c r="G13" i="92" s="1"/>
  <c r="G14" i="92" s="1"/>
  <c r="A9" i="92"/>
  <c r="A10" i="92" s="1"/>
  <c r="A11" i="92" s="1"/>
  <c r="A12" i="92" s="1"/>
  <c r="A13" i="92" s="1"/>
  <c r="A14" i="92" s="1"/>
  <c r="A9" i="91"/>
  <c r="A10" i="91" s="1"/>
  <c r="A11" i="91" s="1"/>
  <c r="A12" i="91" s="1"/>
  <c r="A13" i="91" s="1"/>
  <c r="A14" i="91" s="1"/>
  <c r="G9" i="90"/>
  <c r="G10" i="90" s="1"/>
  <c r="G11" i="90" s="1"/>
  <c r="G12" i="90" s="1"/>
  <c r="G13" i="90" s="1"/>
  <c r="G14" i="90" s="1"/>
  <c r="A9" i="90"/>
  <c r="A10" i="90" s="1"/>
  <c r="A11" i="90" s="1"/>
  <c r="A12" i="90" s="1"/>
  <c r="A13" i="90" s="1"/>
  <c r="A14" i="90" s="1"/>
  <c r="G9" i="89"/>
  <c r="G10" i="89" s="1"/>
  <c r="G11" i="89" s="1"/>
  <c r="G12" i="89" s="1"/>
  <c r="G13" i="89" s="1"/>
  <c r="G14" i="89" s="1"/>
  <c r="A9" i="89"/>
  <c r="A10" i="89" s="1"/>
  <c r="A11" i="89" s="1"/>
  <c r="A12" i="89" s="1"/>
  <c r="A13" i="89" s="1"/>
  <c r="A14" i="89" s="1"/>
  <c r="G9" i="88"/>
  <c r="G10" i="88" s="1"/>
  <c r="G11" i="88" s="1"/>
  <c r="G12" i="88" s="1"/>
  <c r="G13" i="88" s="1"/>
  <c r="G14" i="88" s="1"/>
  <c r="A9" i="88"/>
  <c r="A10" i="88" s="1"/>
  <c r="A11" i="88" s="1"/>
  <c r="A12" i="88" s="1"/>
  <c r="A13" i="88" s="1"/>
  <c r="A14" i="88" s="1"/>
  <c r="G9" i="87"/>
  <c r="G10" i="87" s="1"/>
  <c r="G11" i="87" s="1"/>
  <c r="G12" i="87" s="1"/>
  <c r="G13" i="87" s="1"/>
  <c r="G14" i="87" s="1"/>
  <c r="A9" i="87"/>
  <c r="A10" i="87" s="1"/>
  <c r="A11" i="87" s="1"/>
  <c r="A12" i="87" s="1"/>
  <c r="A13" i="87" s="1"/>
  <c r="A14" i="87" s="1"/>
  <c r="G9" i="86"/>
  <c r="G10" i="86" s="1"/>
  <c r="G11" i="86" s="1"/>
  <c r="G12" i="86" s="1"/>
  <c r="G13" i="86" s="1"/>
  <c r="G14" i="86" s="1"/>
  <c r="A9" i="86"/>
  <c r="A10" i="86" s="1"/>
  <c r="A11" i="86" s="1"/>
  <c r="A12" i="86" s="1"/>
  <c r="A13" i="86" s="1"/>
  <c r="A14" i="86" s="1"/>
  <c r="G9" i="85"/>
  <c r="G10" i="85" s="1"/>
  <c r="G11" i="85" s="1"/>
  <c r="G12" i="85" s="1"/>
  <c r="G13" i="85" s="1"/>
  <c r="G14" i="85" s="1"/>
  <c r="A9" i="85"/>
  <c r="A10" i="85" s="1"/>
  <c r="A11" i="85" s="1"/>
  <c r="A12" i="85" s="1"/>
  <c r="A13" i="85" s="1"/>
  <c r="A14" i="85" s="1"/>
  <c r="A9" i="84"/>
  <c r="A10" i="84" s="1"/>
  <c r="A11" i="84" s="1"/>
  <c r="A12" i="84" s="1"/>
  <c r="A13" i="84" s="1"/>
  <c r="A14" i="84" s="1"/>
  <c r="G9" i="83"/>
  <c r="G10" i="83" s="1"/>
  <c r="G11" i="83" s="1"/>
  <c r="G12" i="83" s="1"/>
  <c r="G13" i="83" s="1"/>
  <c r="G14" i="83" s="1"/>
  <c r="A9" i="83"/>
  <c r="A10" i="83" s="1"/>
  <c r="A11" i="83" s="1"/>
  <c r="A12" i="83" s="1"/>
  <c r="A13" i="83" s="1"/>
  <c r="A14" i="83" s="1"/>
  <c r="A9" i="82"/>
  <c r="A10" i="82" s="1"/>
  <c r="A11" i="82" s="1"/>
  <c r="A12" i="82" s="1"/>
  <c r="A13" i="82" s="1"/>
  <c r="A14" i="82" s="1"/>
  <c r="G9" i="82"/>
  <c r="G10" i="82" s="1"/>
  <c r="G11" i="82" s="1"/>
  <c r="G12" i="82" s="1"/>
  <c r="G13" i="82" s="1"/>
  <c r="G14" i="82" s="1"/>
  <c r="A9" i="80"/>
  <c r="A10" i="80" s="1"/>
  <c r="A11" i="80" s="1"/>
  <c r="A12" i="80" s="1"/>
  <c r="A13" i="80" s="1"/>
  <c r="A14" i="80" s="1"/>
  <c r="G9" i="79"/>
  <c r="G10" i="79" s="1"/>
  <c r="G11" i="79" s="1"/>
  <c r="G12" i="79" s="1"/>
  <c r="G13" i="79" s="1"/>
  <c r="G14" i="79" s="1"/>
  <c r="A9" i="79"/>
  <c r="A10" i="79" s="1"/>
  <c r="A11" i="79" s="1"/>
  <c r="A12" i="79" s="1"/>
  <c r="A13" i="79" s="1"/>
  <c r="A14" i="79" s="1"/>
  <c r="G9" i="78"/>
  <c r="G10" i="78" s="1"/>
  <c r="G11" i="78" s="1"/>
  <c r="G12" i="78" s="1"/>
  <c r="G13" i="78" s="1"/>
  <c r="G14" i="78" s="1"/>
  <c r="I14" i="78"/>
  <c r="A9" i="78"/>
  <c r="A10" i="78" s="1"/>
  <c r="A11" i="78" s="1"/>
  <c r="A12" i="78" s="1"/>
  <c r="A13" i="78" s="1"/>
  <c r="A14" i="78" s="1"/>
  <c r="K14" i="75"/>
  <c r="C14" i="79" l="1"/>
  <c r="I14" i="88"/>
  <c r="I14" i="83"/>
  <c r="I14" i="84"/>
  <c r="I14" i="81"/>
  <c r="I14" i="82"/>
  <c r="I14" i="79"/>
  <c r="I14" i="80"/>
  <c r="I14" i="74"/>
  <c r="I8" i="95"/>
  <c r="F14" i="68"/>
  <c r="E14" i="69" s="1"/>
  <c r="L14" i="68"/>
  <c r="K14" i="69" s="1"/>
  <c r="L14" i="69" s="1"/>
  <c r="K14" i="70" s="1"/>
  <c r="L14" i="70" s="1"/>
  <c r="K14" i="71" s="1"/>
  <c r="L14" i="71" s="1"/>
  <c r="I13" i="95"/>
  <c r="I13" i="97"/>
  <c r="C14" i="80" l="1"/>
  <c r="I14" i="75"/>
  <c r="L14" i="75" s="1"/>
  <c r="K14" i="76" s="1"/>
  <c r="C14" i="69"/>
  <c r="F14" i="69" s="1"/>
  <c r="E14" i="70" s="1"/>
  <c r="I13" i="79"/>
  <c r="I14" i="91"/>
  <c r="I14" i="92"/>
  <c r="I14" i="93"/>
  <c r="K14" i="91"/>
  <c r="I14" i="73"/>
  <c r="K13" i="72"/>
  <c r="I14" i="76" l="1"/>
  <c r="L14" i="76" s="1"/>
  <c r="K14" i="77" s="1"/>
  <c r="I14" i="77"/>
  <c r="I13" i="80"/>
  <c r="C14" i="70"/>
  <c r="F14" i="70" s="1"/>
  <c r="E14" i="71" s="1"/>
  <c r="L14" i="91"/>
  <c r="K14" i="92" s="1"/>
  <c r="L14" i="92" s="1"/>
  <c r="K14" i="93" s="1"/>
  <c r="L14" i="93" s="1"/>
  <c r="K14" i="94" s="1"/>
  <c r="L14" i="94" s="1"/>
  <c r="K14" i="72"/>
  <c r="I14" i="72"/>
  <c r="I13" i="69"/>
  <c r="I13" i="96"/>
  <c r="I13" i="94"/>
  <c r="L14" i="77" l="1"/>
  <c r="K14" i="78" s="1"/>
  <c r="L14" i="78" s="1"/>
  <c r="K14" i="79" s="1"/>
  <c r="L14" i="79" s="1"/>
  <c r="K14" i="80" s="1"/>
  <c r="L14" i="80" s="1"/>
  <c r="K14" i="81" s="1"/>
  <c r="L14" i="81" s="1"/>
  <c r="K14" i="82" s="1"/>
  <c r="L14" i="82" s="1"/>
  <c r="K14" i="83" s="1"/>
  <c r="L14" i="83" s="1"/>
  <c r="K14" i="84" s="1"/>
  <c r="L14" i="84" s="1"/>
  <c r="K14" i="85" s="1"/>
  <c r="L14" i="85" s="1"/>
  <c r="K14" i="86" s="1"/>
  <c r="L14" i="86" s="1"/>
  <c r="K14" i="87" s="1"/>
  <c r="L14" i="87" s="1"/>
  <c r="K14" i="88" s="1"/>
  <c r="L14" i="88" s="1"/>
  <c r="K14" i="89" s="1"/>
  <c r="L14" i="89" s="1"/>
  <c r="K13" i="90" s="1"/>
  <c r="C14" i="81"/>
  <c r="K14" i="95"/>
  <c r="L14" i="95" s="1"/>
  <c r="K14" i="96" s="1"/>
  <c r="L14" i="96" s="1"/>
  <c r="C14" i="82"/>
  <c r="C14" i="71"/>
  <c r="F14" i="71" s="1"/>
  <c r="E14" i="72" s="1"/>
  <c r="I13" i="81"/>
  <c r="L14" i="72"/>
  <c r="K14" i="73" s="1"/>
  <c r="L14" i="73" s="1"/>
  <c r="K14" i="74" s="1"/>
  <c r="L14" i="74" s="1"/>
  <c r="I13" i="93"/>
  <c r="I13" i="91"/>
  <c r="I13" i="92"/>
  <c r="I13" i="90"/>
  <c r="I13" i="89"/>
  <c r="C14" i="83" l="1"/>
  <c r="C14" i="72"/>
  <c r="I13" i="82"/>
  <c r="I13" i="77"/>
  <c r="I13" i="76"/>
  <c r="I13" i="75"/>
  <c r="I13" i="74"/>
  <c r="I13" i="73"/>
  <c r="I13" i="72"/>
  <c r="I13" i="71"/>
  <c r="I13" i="70"/>
  <c r="I13" i="68"/>
  <c r="I13" i="1"/>
  <c r="L13" i="1" s="1"/>
  <c r="K13" i="68" s="1"/>
  <c r="I13" i="78"/>
  <c r="H140" i="35"/>
  <c r="AI145" i="35"/>
  <c r="AH145" i="35"/>
  <c r="AG145" i="35"/>
  <c r="AF145" i="35"/>
  <c r="AE145" i="35"/>
  <c r="AD145" i="35"/>
  <c r="AC145" i="35"/>
  <c r="AB145" i="35"/>
  <c r="AA145" i="35"/>
  <c r="Z145" i="35"/>
  <c r="Y145" i="35"/>
  <c r="X145" i="35"/>
  <c r="W145" i="35"/>
  <c r="V145" i="35"/>
  <c r="U145" i="35"/>
  <c r="T145" i="35"/>
  <c r="S145" i="35"/>
  <c r="R145" i="35"/>
  <c r="Q145" i="35"/>
  <c r="P145" i="35"/>
  <c r="O145" i="35"/>
  <c r="N145" i="35"/>
  <c r="M145" i="35"/>
  <c r="L145" i="35"/>
  <c r="K145" i="35"/>
  <c r="J145" i="35"/>
  <c r="I145" i="35"/>
  <c r="G145" i="35"/>
  <c r="F145" i="35"/>
  <c r="E145" i="35"/>
  <c r="AI144" i="35"/>
  <c r="AH144" i="35"/>
  <c r="AG144" i="35"/>
  <c r="AF144" i="35"/>
  <c r="AE144" i="35"/>
  <c r="AD144" i="35"/>
  <c r="AC144" i="35"/>
  <c r="AB144" i="35"/>
  <c r="AA144" i="35"/>
  <c r="Z144" i="35"/>
  <c r="Y144" i="35"/>
  <c r="X144" i="35"/>
  <c r="W144" i="35"/>
  <c r="V144" i="35"/>
  <c r="U144" i="35"/>
  <c r="T144" i="35"/>
  <c r="S144" i="35"/>
  <c r="R144" i="35"/>
  <c r="Q144" i="35"/>
  <c r="P144" i="35"/>
  <c r="O144" i="35"/>
  <c r="N144" i="35"/>
  <c r="M144" i="35"/>
  <c r="L144" i="35"/>
  <c r="K144" i="35"/>
  <c r="J144" i="35"/>
  <c r="I144" i="35"/>
  <c r="G144" i="35"/>
  <c r="F144" i="35"/>
  <c r="E144" i="35"/>
  <c r="AI143" i="35"/>
  <c r="AH143" i="35"/>
  <c r="AG143" i="35"/>
  <c r="AF143" i="35"/>
  <c r="AE143" i="35"/>
  <c r="AD143" i="35"/>
  <c r="AC143" i="35"/>
  <c r="AB143" i="35"/>
  <c r="AA143" i="35"/>
  <c r="Z143" i="35"/>
  <c r="Y143" i="35"/>
  <c r="X143" i="35"/>
  <c r="W143" i="35"/>
  <c r="V143" i="35"/>
  <c r="U143" i="35"/>
  <c r="T143" i="35"/>
  <c r="S143" i="35"/>
  <c r="R143" i="35"/>
  <c r="Q143" i="35"/>
  <c r="P143" i="35"/>
  <c r="O143" i="35"/>
  <c r="N143" i="35"/>
  <c r="M143" i="35"/>
  <c r="L143" i="35"/>
  <c r="K143" i="35"/>
  <c r="J143" i="35"/>
  <c r="I143" i="35"/>
  <c r="G143" i="35"/>
  <c r="F143" i="35"/>
  <c r="E143" i="35"/>
  <c r="AI142" i="35"/>
  <c r="AH142" i="35"/>
  <c r="AG142" i="35"/>
  <c r="AF142" i="35"/>
  <c r="AE142" i="35"/>
  <c r="AD142" i="35"/>
  <c r="AC142" i="35"/>
  <c r="AB142" i="35"/>
  <c r="AA142" i="35"/>
  <c r="Z142" i="35"/>
  <c r="Y142" i="35"/>
  <c r="X142" i="35"/>
  <c r="W142" i="35"/>
  <c r="V142" i="35"/>
  <c r="U142" i="35"/>
  <c r="T142" i="35"/>
  <c r="S142" i="35"/>
  <c r="R142" i="35"/>
  <c r="Q142" i="35"/>
  <c r="P142" i="35"/>
  <c r="O142" i="35"/>
  <c r="N142" i="35"/>
  <c r="M142" i="35"/>
  <c r="L142" i="35"/>
  <c r="K142" i="35"/>
  <c r="J142" i="35"/>
  <c r="I142" i="35"/>
  <c r="G142" i="35"/>
  <c r="F142" i="35"/>
  <c r="E142" i="35"/>
  <c r="AI141" i="35"/>
  <c r="AH141" i="35"/>
  <c r="AG141" i="35"/>
  <c r="AF141" i="35"/>
  <c r="AE141" i="35"/>
  <c r="AD141" i="35"/>
  <c r="AC141" i="35"/>
  <c r="AB141" i="35"/>
  <c r="AA141" i="35"/>
  <c r="Z141" i="35"/>
  <c r="Y141" i="35"/>
  <c r="X141" i="35"/>
  <c r="W141" i="35"/>
  <c r="V141" i="35"/>
  <c r="U141" i="35"/>
  <c r="T141" i="35"/>
  <c r="S141" i="35"/>
  <c r="R141" i="35"/>
  <c r="Q141" i="35"/>
  <c r="P141" i="35"/>
  <c r="O141" i="35"/>
  <c r="N141" i="35"/>
  <c r="M141" i="35"/>
  <c r="L141" i="35"/>
  <c r="K141" i="35"/>
  <c r="J141" i="35"/>
  <c r="I141" i="35"/>
  <c r="G141" i="35"/>
  <c r="F141" i="35"/>
  <c r="E141" i="35"/>
  <c r="AI140" i="35"/>
  <c r="AH140" i="35"/>
  <c r="AG140" i="35"/>
  <c r="AF140" i="35"/>
  <c r="AE140" i="35"/>
  <c r="AD140" i="35"/>
  <c r="AC140" i="35"/>
  <c r="AB140" i="35"/>
  <c r="AA140" i="35"/>
  <c r="Z140" i="35"/>
  <c r="Y140" i="35"/>
  <c r="X140" i="35"/>
  <c r="W140" i="35"/>
  <c r="V140" i="35"/>
  <c r="U140" i="35"/>
  <c r="T140" i="35"/>
  <c r="S140" i="35"/>
  <c r="R140" i="35"/>
  <c r="Q140" i="35"/>
  <c r="P140" i="35"/>
  <c r="O140" i="35"/>
  <c r="N140" i="35"/>
  <c r="M140" i="35"/>
  <c r="L140" i="35"/>
  <c r="K140" i="35"/>
  <c r="J140" i="35"/>
  <c r="I140" i="35"/>
  <c r="G140" i="35"/>
  <c r="F140" i="35"/>
  <c r="E140" i="35"/>
  <c r="AI139" i="35"/>
  <c r="AH139" i="35"/>
  <c r="AG139" i="35"/>
  <c r="AF139" i="35"/>
  <c r="AE139" i="35"/>
  <c r="AD139" i="35"/>
  <c r="AC139" i="35"/>
  <c r="AB139" i="35"/>
  <c r="AA139" i="35"/>
  <c r="Z139" i="35"/>
  <c r="Y139" i="35"/>
  <c r="X139" i="35"/>
  <c r="W139" i="35"/>
  <c r="V139" i="35"/>
  <c r="U139" i="35"/>
  <c r="T139" i="35"/>
  <c r="S139" i="35"/>
  <c r="R139" i="35"/>
  <c r="Q139" i="35"/>
  <c r="P139" i="35"/>
  <c r="O139" i="35"/>
  <c r="N139" i="35"/>
  <c r="M139" i="35"/>
  <c r="L139" i="35"/>
  <c r="K139" i="35"/>
  <c r="J139" i="35"/>
  <c r="I139" i="35"/>
  <c r="G139" i="35"/>
  <c r="F139" i="35"/>
  <c r="E139" i="35"/>
  <c r="AI138" i="35"/>
  <c r="AH138" i="35"/>
  <c r="AG138" i="35"/>
  <c r="AF138" i="35"/>
  <c r="AE138" i="35"/>
  <c r="AD138" i="35"/>
  <c r="AC138" i="35"/>
  <c r="AB138" i="35"/>
  <c r="AA138" i="35"/>
  <c r="Z138" i="35"/>
  <c r="Y138" i="35"/>
  <c r="X138" i="35"/>
  <c r="W138" i="35"/>
  <c r="V138" i="35"/>
  <c r="U138" i="35"/>
  <c r="T138" i="35"/>
  <c r="S138" i="35"/>
  <c r="R138" i="35"/>
  <c r="Q138" i="35"/>
  <c r="P138" i="35"/>
  <c r="O138" i="35"/>
  <c r="N138" i="35"/>
  <c r="M138" i="35"/>
  <c r="L138" i="35"/>
  <c r="K138" i="35"/>
  <c r="J138" i="35"/>
  <c r="I138" i="35"/>
  <c r="G138" i="35"/>
  <c r="F138" i="35"/>
  <c r="E138" i="35"/>
  <c r="AI137" i="35"/>
  <c r="AH137" i="35"/>
  <c r="AG137" i="35"/>
  <c r="AF137" i="35"/>
  <c r="AE137" i="35"/>
  <c r="AD137" i="35"/>
  <c r="AC137" i="35"/>
  <c r="AB137" i="35"/>
  <c r="AA137" i="35"/>
  <c r="Z137" i="35"/>
  <c r="Y137" i="35"/>
  <c r="X137" i="35"/>
  <c r="W137" i="35"/>
  <c r="V137" i="35"/>
  <c r="U137" i="35"/>
  <c r="T137" i="35"/>
  <c r="S137" i="35"/>
  <c r="R137" i="35"/>
  <c r="Q137" i="35"/>
  <c r="P137" i="35"/>
  <c r="O137" i="35"/>
  <c r="N137" i="35"/>
  <c r="M137" i="35"/>
  <c r="L137" i="35"/>
  <c r="K137" i="35"/>
  <c r="J137" i="35"/>
  <c r="I137" i="35"/>
  <c r="G137" i="35"/>
  <c r="F137" i="35"/>
  <c r="E137" i="35"/>
  <c r="AI136" i="35"/>
  <c r="AH136" i="35"/>
  <c r="AG136" i="35"/>
  <c r="AF136" i="35"/>
  <c r="AE136" i="35"/>
  <c r="AD136" i="35"/>
  <c r="AC136" i="35"/>
  <c r="AB136" i="35"/>
  <c r="AA136" i="35"/>
  <c r="Z136" i="35"/>
  <c r="Y136" i="35"/>
  <c r="X136" i="35"/>
  <c r="W136" i="35"/>
  <c r="V136" i="35"/>
  <c r="U136" i="35"/>
  <c r="T136" i="35"/>
  <c r="S136" i="35"/>
  <c r="R136" i="35"/>
  <c r="Q136" i="35"/>
  <c r="P136" i="35"/>
  <c r="O136" i="35"/>
  <c r="N136" i="35"/>
  <c r="M136" i="35"/>
  <c r="L136" i="35"/>
  <c r="K136" i="35"/>
  <c r="J136" i="35"/>
  <c r="I136" i="35"/>
  <c r="G136" i="35"/>
  <c r="F136" i="35"/>
  <c r="E136" i="35"/>
  <c r="AI135" i="35"/>
  <c r="AH135" i="35"/>
  <c r="AG135" i="35"/>
  <c r="AF135" i="35"/>
  <c r="AE135" i="35"/>
  <c r="AD135" i="35"/>
  <c r="AC135" i="35"/>
  <c r="AB135" i="35"/>
  <c r="AA135" i="35"/>
  <c r="Z135" i="35"/>
  <c r="Y135" i="35"/>
  <c r="X135" i="35"/>
  <c r="W135" i="35"/>
  <c r="V135" i="35"/>
  <c r="U135" i="35"/>
  <c r="T135" i="35"/>
  <c r="S135" i="35"/>
  <c r="R135" i="35"/>
  <c r="Q135" i="35"/>
  <c r="P135" i="35"/>
  <c r="O135" i="35"/>
  <c r="N135" i="35"/>
  <c r="M135" i="35"/>
  <c r="L135" i="35"/>
  <c r="K135" i="35"/>
  <c r="J135" i="35"/>
  <c r="I135" i="35"/>
  <c r="G135" i="35"/>
  <c r="F135" i="35"/>
  <c r="E135" i="35"/>
  <c r="AI134" i="35"/>
  <c r="AH134" i="35"/>
  <c r="AG134" i="35"/>
  <c r="AF134" i="35"/>
  <c r="AE134" i="35"/>
  <c r="AD134" i="35"/>
  <c r="AC134" i="35"/>
  <c r="AB134" i="35"/>
  <c r="AA134" i="35"/>
  <c r="Z134" i="35"/>
  <c r="Y134" i="35"/>
  <c r="X134" i="35"/>
  <c r="W134" i="35"/>
  <c r="V134" i="35"/>
  <c r="U134" i="35"/>
  <c r="T134" i="35"/>
  <c r="S134" i="35"/>
  <c r="R134" i="35"/>
  <c r="Q134" i="35"/>
  <c r="P134" i="35"/>
  <c r="O134" i="35"/>
  <c r="N134" i="35"/>
  <c r="M134" i="35"/>
  <c r="L134" i="35"/>
  <c r="K134" i="35"/>
  <c r="J134" i="35"/>
  <c r="I134" i="35"/>
  <c r="G134" i="35"/>
  <c r="F134" i="35"/>
  <c r="E134" i="35"/>
  <c r="AI133" i="35"/>
  <c r="AH133" i="35"/>
  <c r="AG133" i="35"/>
  <c r="AF133" i="35"/>
  <c r="AE133" i="35"/>
  <c r="AD133" i="35"/>
  <c r="AC133" i="35"/>
  <c r="AB133" i="35"/>
  <c r="AA133" i="35"/>
  <c r="Z133" i="35"/>
  <c r="Y133" i="35"/>
  <c r="X133" i="35"/>
  <c r="W133" i="35"/>
  <c r="V133" i="35"/>
  <c r="U133" i="35"/>
  <c r="T133" i="35"/>
  <c r="S133" i="35"/>
  <c r="R133" i="35"/>
  <c r="Q133" i="35"/>
  <c r="P133" i="35"/>
  <c r="O133" i="35"/>
  <c r="N133" i="35"/>
  <c r="M133" i="35"/>
  <c r="L133" i="35"/>
  <c r="K133" i="35"/>
  <c r="J133" i="35"/>
  <c r="I133" i="35"/>
  <c r="G133" i="35"/>
  <c r="F133" i="35"/>
  <c r="E133" i="35"/>
  <c r="AI132" i="35"/>
  <c r="AH132" i="35"/>
  <c r="AG132" i="35"/>
  <c r="AF132" i="35"/>
  <c r="AE132" i="35"/>
  <c r="AD132" i="35"/>
  <c r="AC132" i="35"/>
  <c r="AB132" i="35"/>
  <c r="AA132" i="35"/>
  <c r="Z132" i="35"/>
  <c r="Y132" i="35"/>
  <c r="X132" i="35"/>
  <c r="W132" i="35"/>
  <c r="V132" i="35"/>
  <c r="U132" i="35"/>
  <c r="T132" i="35"/>
  <c r="S132" i="35"/>
  <c r="R132" i="35"/>
  <c r="Q132" i="35"/>
  <c r="P132" i="35"/>
  <c r="O132" i="35"/>
  <c r="N132" i="35"/>
  <c r="M132" i="35"/>
  <c r="L132" i="35"/>
  <c r="K132" i="35"/>
  <c r="J132" i="35"/>
  <c r="I132" i="35"/>
  <c r="G132" i="35"/>
  <c r="F132" i="35"/>
  <c r="E132" i="35"/>
  <c r="AI131" i="35"/>
  <c r="AH131" i="35"/>
  <c r="AG131" i="35"/>
  <c r="AF131" i="35"/>
  <c r="AE131" i="35"/>
  <c r="AD131" i="35"/>
  <c r="AC131" i="35"/>
  <c r="AB131" i="35"/>
  <c r="AA131" i="35"/>
  <c r="Z131" i="35"/>
  <c r="Y131" i="35"/>
  <c r="X131" i="35"/>
  <c r="W131" i="35"/>
  <c r="V131" i="35"/>
  <c r="U131" i="35"/>
  <c r="T131" i="35"/>
  <c r="S131" i="35"/>
  <c r="R131" i="35"/>
  <c r="Q131" i="35"/>
  <c r="P131" i="35"/>
  <c r="O131" i="35"/>
  <c r="N131" i="35"/>
  <c r="M131" i="35"/>
  <c r="L131" i="35"/>
  <c r="K131" i="35"/>
  <c r="J131" i="35"/>
  <c r="I131" i="35"/>
  <c r="G131" i="35"/>
  <c r="F131" i="35"/>
  <c r="E131" i="35"/>
  <c r="AI130" i="35"/>
  <c r="AH130" i="35"/>
  <c r="AG130" i="35"/>
  <c r="AF130" i="35"/>
  <c r="AE130" i="35"/>
  <c r="AD130" i="35"/>
  <c r="AC130" i="35"/>
  <c r="AB130" i="35"/>
  <c r="AA130" i="35"/>
  <c r="Z130" i="35"/>
  <c r="Y130" i="35"/>
  <c r="X130" i="35"/>
  <c r="W130" i="35"/>
  <c r="V130" i="35"/>
  <c r="U130" i="35"/>
  <c r="T130" i="35"/>
  <c r="S130" i="35"/>
  <c r="R130" i="35"/>
  <c r="Q130" i="35"/>
  <c r="P130" i="35"/>
  <c r="O130" i="35"/>
  <c r="N130" i="35"/>
  <c r="M130" i="35"/>
  <c r="L130" i="35"/>
  <c r="K130" i="35"/>
  <c r="J130" i="35"/>
  <c r="I130" i="35"/>
  <c r="G130" i="35"/>
  <c r="F130" i="35"/>
  <c r="E130" i="35"/>
  <c r="AI129" i="35"/>
  <c r="AH129" i="35"/>
  <c r="AG129" i="35"/>
  <c r="AF129" i="35"/>
  <c r="AE129" i="35"/>
  <c r="AD129" i="35"/>
  <c r="AC129" i="35"/>
  <c r="AB129" i="35"/>
  <c r="AA129" i="35"/>
  <c r="Z129" i="35"/>
  <c r="Y129" i="35"/>
  <c r="X129" i="35"/>
  <c r="W129" i="35"/>
  <c r="V129" i="35"/>
  <c r="U129" i="35"/>
  <c r="T129" i="35"/>
  <c r="S129" i="35"/>
  <c r="R129" i="35"/>
  <c r="Q129" i="35"/>
  <c r="P129" i="35"/>
  <c r="O129" i="35"/>
  <c r="N129" i="35"/>
  <c r="M129" i="35"/>
  <c r="L129" i="35"/>
  <c r="K129" i="35"/>
  <c r="J129" i="35"/>
  <c r="I129" i="35"/>
  <c r="G129" i="35"/>
  <c r="F129" i="35"/>
  <c r="E129" i="35"/>
  <c r="AI128" i="35"/>
  <c r="AH128" i="35"/>
  <c r="AG128" i="35"/>
  <c r="AF128" i="35"/>
  <c r="AE128" i="35"/>
  <c r="AD128" i="35"/>
  <c r="AC128" i="35"/>
  <c r="AB128" i="35"/>
  <c r="AA128" i="35"/>
  <c r="Z128" i="35"/>
  <c r="Y128" i="35"/>
  <c r="X128" i="35"/>
  <c r="W128" i="35"/>
  <c r="V128" i="35"/>
  <c r="U128" i="35"/>
  <c r="T128" i="35"/>
  <c r="S128" i="35"/>
  <c r="R128" i="35"/>
  <c r="Q128" i="35"/>
  <c r="P128" i="35"/>
  <c r="O128" i="35"/>
  <c r="N128" i="35"/>
  <c r="M128" i="35"/>
  <c r="L128" i="35"/>
  <c r="K128" i="35"/>
  <c r="J128" i="35"/>
  <c r="I128" i="35"/>
  <c r="G128" i="35"/>
  <c r="F128" i="35"/>
  <c r="E128" i="35"/>
  <c r="AI127" i="35"/>
  <c r="AH127" i="35"/>
  <c r="AG127" i="35"/>
  <c r="AF127" i="35"/>
  <c r="AE127" i="35"/>
  <c r="AD127" i="35"/>
  <c r="AC127" i="35"/>
  <c r="AB127" i="35"/>
  <c r="AA127" i="35"/>
  <c r="Z127" i="35"/>
  <c r="Y127" i="35"/>
  <c r="X127" i="35"/>
  <c r="W127" i="35"/>
  <c r="V127" i="35"/>
  <c r="U127" i="35"/>
  <c r="T127" i="35"/>
  <c r="S127" i="35"/>
  <c r="R127" i="35"/>
  <c r="Q127" i="35"/>
  <c r="P127" i="35"/>
  <c r="O127" i="35"/>
  <c r="N127" i="35"/>
  <c r="M127" i="35"/>
  <c r="L127" i="35"/>
  <c r="K127" i="35"/>
  <c r="J127" i="35"/>
  <c r="I127" i="35"/>
  <c r="G127" i="35"/>
  <c r="F127" i="35"/>
  <c r="E127" i="35"/>
  <c r="AI126" i="35"/>
  <c r="AH126" i="35"/>
  <c r="AG126" i="35"/>
  <c r="AF126" i="35"/>
  <c r="AE126" i="35"/>
  <c r="AD126" i="35"/>
  <c r="AC126" i="35"/>
  <c r="AB126" i="35"/>
  <c r="AA126" i="35"/>
  <c r="Z126" i="35"/>
  <c r="Y126" i="35"/>
  <c r="X126" i="35"/>
  <c r="W126" i="35"/>
  <c r="V126" i="35"/>
  <c r="U126" i="35"/>
  <c r="T126" i="35"/>
  <c r="S126" i="35"/>
  <c r="R126" i="35"/>
  <c r="Q126" i="35"/>
  <c r="P126" i="35"/>
  <c r="O126" i="35"/>
  <c r="N126" i="35"/>
  <c r="M126" i="35"/>
  <c r="L126" i="35"/>
  <c r="K126" i="35"/>
  <c r="J126" i="35"/>
  <c r="I126" i="35"/>
  <c r="G126" i="35"/>
  <c r="F126" i="35"/>
  <c r="E126" i="35"/>
  <c r="AI125" i="35"/>
  <c r="AH125" i="35"/>
  <c r="AG125" i="35"/>
  <c r="AF125" i="35"/>
  <c r="AE125" i="35"/>
  <c r="AD125" i="35"/>
  <c r="AC125" i="35"/>
  <c r="AB125" i="35"/>
  <c r="AA125" i="35"/>
  <c r="Z125" i="35"/>
  <c r="Y125" i="35"/>
  <c r="X125" i="35"/>
  <c r="W125" i="35"/>
  <c r="V125" i="35"/>
  <c r="U125" i="35"/>
  <c r="T125" i="35"/>
  <c r="S125" i="35"/>
  <c r="R125" i="35"/>
  <c r="Q125" i="35"/>
  <c r="P125" i="35"/>
  <c r="O125" i="35"/>
  <c r="N125" i="35"/>
  <c r="M125" i="35"/>
  <c r="L125" i="35"/>
  <c r="K125" i="35"/>
  <c r="J125" i="35"/>
  <c r="I125" i="35"/>
  <c r="G125" i="35"/>
  <c r="F125" i="35"/>
  <c r="E125" i="35"/>
  <c r="AI124" i="35"/>
  <c r="AH124" i="35"/>
  <c r="AG124" i="35"/>
  <c r="AF124" i="35"/>
  <c r="AE124" i="35"/>
  <c r="AD124" i="35"/>
  <c r="AC124" i="35"/>
  <c r="AB124" i="35"/>
  <c r="AA124" i="35"/>
  <c r="Z124" i="35"/>
  <c r="Y124" i="35"/>
  <c r="X124" i="35"/>
  <c r="W124" i="35"/>
  <c r="V124" i="35"/>
  <c r="U124" i="35"/>
  <c r="T124" i="35"/>
  <c r="S124" i="35"/>
  <c r="R124" i="35"/>
  <c r="Q124" i="35"/>
  <c r="P124" i="35"/>
  <c r="O124" i="35"/>
  <c r="N124" i="35"/>
  <c r="M124" i="35"/>
  <c r="L124" i="35"/>
  <c r="K124" i="35"/>
  <c r="J124" i="35"/>
  <c r="I124" i="35"/>
  <c r="G124" i="35"/>
  <c r="F124" i="35"/>
  <c r="E124" i="35"/>
  <c r="AI123" i="35"/>
  <c r="AH123" i="35"/>
  <c r="AG123" i="35"/>
  <c r="AF123" i="35"/>
  <c r="AE123" i="35"/>
  <c r="AD123" i="35"/>
  <c r="AC123" i="35"/>
  <c r="AB123" i="35"/>
  <c r="AA123" i="35"/>
  <c r="Z123" i="35"/>
  <c r="Y123" i="35"/>
  <c r="X123" i="35"/>
  <c r="W123" i="35"/>
  <c r="V123" i="35"/>
  <c r="U123" i="35"/>
  <c r="T123" i="35"/>
  <c r="S123" i="35"/>
  <c r="R123" i="35"/>
  <c r="Q123" i="35"/>
  <c r="P123" i="35"/>
  <c r="O123" i="35"/>
  <c r="N123" i="35"/>
  <c r="M123" i="35"/>
  <c r="L123" i="35"/>
  <c r="K123" i="35"/>
  <c r="J123" i="35"/>
  <c r="I123" i="35"/>
  <c r="G123" i="35"/>
  <c r="F123" i="35"/>
  <c r="E123" i="35"/>
  <c r="AI122" i="35"/>
  <c r="AH122" i="35"/>
  <c r="AG122" i="35"/>
  <c r="AF122" i="35"/>
  <c r="AE122" i="35"/>
  <c r="AD122" i="35"/>
  <c r="AC122" i="35"/>
  <c r="AB122" i="35"/>
  <c r="AA122" i="35"/>
  <c r="Z122" i="35"/>
  <c r="Y122" i="35"/>
  <c r="X122" i="35"/>
  <c r="W122" i="35"/>
  <c r="V122" i="35"/>
  <c r="U122" i="35"/>
  <c r="T122" i="35"/>
  <c r="S122" i="35"/>
  <c r="R122" i="35"/>
  <c r="Q122" i="35"/>
  <c r="P122" i="35"/>
  <c r="O122" i="35"/>
  <c r="N122" i="35"/>
  <c r="M122" i="35"/>
  <c r="L122" i="35"/>
  <c r="K122" i="35"/>
  <c r="J122" i="35"/>
  <c r="I122" i="35"/>
  <c r="G122" i="35"/>
  <c r="F122" i="35"/>
  <c r="E122" i="35"/>
  <c r="AI121" i="35"/>
  <c r="AH121" i="35"/>
  <c r="AG121" i="35"/>
  <c r="AF121" i="35"/>
  <c r="AE121" i="35"/>
  <c r="AD121" i="35"/>
  <c r="AC121" i="35"/>
  <c r="AB121" i="35"/>
  <c r="AA121" i="35"/>
  <c r="Z121" i="35"/>
  <c r="Y121" i="35"/>
  <c r="X121" i="35"/>
  <c r="W121" i="35"/>
  <c r="V121" i="35"/>
  <c r="U121" i="35"/>
  <c r="T121" i="35"/>
  <c r="S121" i="35"/>
  <c r="R121" i="35"/>
  <c r="Q121" i="35"/>
  <c r="P121" i="35"/>
  <c r="O121" i="35"/>
  <c r="N121" i="35"/>
  <c r="M121" i="35"/>
  <c r="L121" i="35"/>
  <c r="K121" i="35"/>
  <c r="J121" i="35"/>
  <c r="I121" i="35"/>
  <c r="G121" i="35"/>
  <c r="F121" i="35"/>
  <c r="E121" i="35"/>
  <c r="AI120" i="35"/>
  <c r="AH120" i="35"/>
  <c r="AG120" i="35"/>
  <c r="AF120" i="35"/>
  <c r="AE120" i="35"/>
  <c r="AD120" i="35"/>
  <c r="AC120" i="35"/>
  <c r="AB120" i="35"/>
  <c r="AA120" i="35"/>
  <c r="Z120" i="35"/>
  <c r="Y120" i="35"/>
  <c r="X120" i="35"/>
  <c r="W120" i="35"/>
  <c r="V120" i="35"/>
  <c r="U120" i="35"/>
  <c r="T120" i="35"/>
  <c r="S120" i="35"/>
  <c r="R120" i="35"/>
  <c r="Q120" i="35"/>
  <c r="P120" i="35"/>
  <c r="O120" i="35"/>
  <c r="N120" i="35"/>
  <c r="M120" i="35"/>
  <c r="L120" i="35"/>
  <c r="K120" i="35"/>
  <c r="J120" i="35"/>
  <c r="I120" i="35"/>
  <c r="G120" i="35"/>
  <c r="F120" i="35"/>
  <c r="E120" i="35"/>
  <c r="AI119" i="35"/>
  <c r="AH119" i="35"/>
  <c r="AG119" i="35"/>
  <c r="AF119" i="35"/>
  <c r="AE119" i="35"/>
  <c r="AD119" i="35"/>
  <c r="AC119" i="35"/>
  <c r="AB119" i="35"/>
  <c r="AA119" i="35"/>
  <c r="Z119" i="35"/>
  <c r="Y119" i="35"/>
  <c r="X119" i="35"/>
  <c r="W119" i="35"/>
  <c r="V119" i="35"/>
  <c r="U119" i="35"/>
  <c r="T119" i="35"/>
  <c r="S119" i="35"/>
  <c r="R119" i="35"/>
  <c r="Q119" i="35"/>
  <c r="P119" i="35"/>
  <c r="O119" i="35"/>
  <c r="N119" i="35"/>
  <c r="M119" i="35"/>
  <c r="L119" i="35"/>
  <c r="K119" i="35"/>
  <c r="J119" i="35"/>
  <c r="I119" i="35"/>
  <c r="G119" i="35"/>
  <c r="F119" i="35"/>
  <c r="E119" i="35"/>
  <c r="AI118" i="35"/>
  <c r="AH118" i="35"/>
  <c r="AG118" i="35"/>
  <c r="AF118" i="35"/>
  <c r="AE118" i="35"/>
  <c r="AD118" i="35"/>
  <c r="AC118" i="35"/>
  <c r="AB118" i="35"/>
  <c r="AA118" i="35"/>
  <c r="Z118" i="35"/>
  <c r="Y118" i="35"/>
  <c r="X118" i="35"/>
  <c r="W118" i="35"/>
  <c r="V118" i="35"/>
  <c r="U118" i="35"/>
  <c r="T118" i="35"/>
  <c r="S118" i="35"/>
  <c r="R118" i="35"/>
  <c r="Q118" i="35"/>
  <c r="P118" i="35"/>
  <c r="O118" i="35"/>
  <c r="N118" i="35"/>
  <c r="M118" i="35"/>
  <c r="L118" i="35"/>
  <c r="K118" i="35"/>
  <c r="J118" i="35"/>
  <c r="I118" i="35"/>
  <c r="G118" i="35"/>
  <c r="F118" i="35"/>
  <c r="E118" i="35"/>
  <c r="AI117" i="35"/>
  <c r="AH117" i="35"/>
  <c r="AG117" i="35"/>
  <c r="AF117" i="35"/>
  <c r="AE117" i="35"/>
  <c r="AD117" i="35"/>
  <c r="AC117" i="35"/>
  <c r="AB117" i="35"/>
  <c r="AA117" i="35"/>
  <c r="Z117" i="35"/>
  <c r="Y117" i="35"/>
  <c r="X117" i="35"/>
  <c r="W117" i="35"/>
  <c r="V117" i="35"/>
  <c r="U117" i="35"/>
  <c r="T117" i="35"/>
  <c r="S117" i="35"/>
  <c r="R117" i="35"/>
  <c r="Q117" i="35"/>
  <c r="P117" i="35"/>
  <c r="O117" i="35"/>
  <c r="N117" i="35"/>
  <c r="M117" i="35"/>
  <c r="L117" i="35"/>
  <c r="K117" i="35"/>
  <c r="J117" i="35"/>
  <c r="I117" i="35"/>
  <c r="G117" i="35"/>
  <c r="F117" i="35"/>
  <c r="E117" i="35"/>
  <c r="AI116" i="35"/>
  <c r="AH116" i="35"/>
  <c r="AG116" i="35"/>
  <c r="AF116" i="35"/>
  <c r="AE116" i="35"/>
  <c r="AD116" i="35"/>
  <c r="AC116" i="35"/>
  <c r="AB116" i="35"/>
  <c r="AA116" i="35"/>
  <c r="Z116" i="35"/>
  <c r="Y116" i="35"/>
  <c r="X116" i="35"/>
  <c r="W116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I116" i="35"/>
  <c r="G116" i="35"/>
  <c r="F116" i="35"/>
  <c r="E116" i="35"/>
  <c r="AI115" i="35"/>
  <c r="AH115" i="35"/>
  <c r="AG115" i="35"/>
  <c r="AF115" i="35"/>
  <c r="AE115" i="35"/>
  <c r="AD115" i="35"/>
  <c r="AC115" i="35"/>
  <c r="AB115" i="35"/>
  <c r="AA115" i="35"/>
  <c r="Z115" i="35"/>
  <c r="Y115" i="35"/>
  <c r="X115" i="35"/>
  <c r="W115" i="35"/>
  <c r="V115" i="35"/>
  <c r="U115" i="35"/>
  <c r="T115" i="35"/>
  <c r="S115" i="35"/>
  <c r="R115" i="35"/>
  <c r="Q115" i="35"/>
  <c r="P115" i="35"/>
  <c r="O115" i="35"/>
  <c r="N115" i="35"/>
  <c r="M115" i="35"/>
  <c r="L115" i="35"/>
  <c r="K115" i="35"/>
  <c r="J115" i="35"/>
  <c r="I115" i="35"/>
  <c r="G115" i="35"/>
  <c r="F115" i="35"/>
  <c r="E115" i="35"/>
  <c r="AI114" i="35"/>
  <c r="AH114" i="35"/>
  <c r="AG114" i="35"/>
  <c r="AF114" i="35"/>
  <c r="AE114" i="35"/>
  <c r="AD114" i="35"/>
  <c r="AC114" i="35"/>
  <c r="AB114" i="35"/>
  <c r="AA114" i="35"/>
  <c r="Z114" i="35"/>
  <c r="Y114" i="35"/>
  <c r="X114" i="35"/>
  <c r="W114" i="35"/>
  <c r="V114" i="35"/>
  <c r="U114" i="35"/>
  <c r="T114" i="35"/>
  <c r="S114" i="35"/>
  <c r="R114" i="35"/>
  <c r="Q114" i="35"/>
  <c r="P114" i="35"/>
  <c r="O114" i="35"/>
  <c r="N114" i="35"/>
  <c r="M114" i="35"/>
  <c r="L114" i="35"/>
  <c r="K114" i="35"/>
  <c r="J114" i="35"/>
  <c r="I114" i="35"/>
  <c r="G114" i="35"/>
  <c r="F114" i="35"/>
  <c r="E114" i="35"/>
  <c r="AI113" i="35"/>
  <c r="AH113" i="35"/>
  <c r="AG113" i="35"/>
  <c r="AF113" i="35"/>
  <c r="AE113" i="35"/>
  <c r="AD113" i="35"/>
  <c r="AC113" i="35"/>
  <c r="AB113" i="35"/>
  <c r="AA113" i="35"/>
  <c r="Z113" i="35"/>
  <c r="Y113" i="35"/>
  <c r="X113" i="35"/>
  <c r="W113" i="35"/>
  <c r="V113" i="35"/>
  <c r="U113" i="35"/>
  <c r="T113" i="35"/>
  <c r="S113" i="35"/>
  <c r="R113" i="35"/>
  <c r="Q113" i="35"/>
  <c r="P113" i="35"/>
  <c r="O113" i="35"/>
  <c r="N113" i="35"/>
  <c r="M113" i="35"/>
  <c r="L113" i="35"/>
  <c r="K113" i="35"/>
  <c r="J113" i="35"/>
  <c r="I113" i="35"/>
  <c r="G113" i="35"/>
  <c r="F113" i="35"/>
  <c r="E113" i="35"/>
  <c r="AI112" i="35"/>
  <c r="AH112" i="35"/>
  <c r="AG112" i="35"/>
  <c r="AF112" i="35"/>
  <c r="AE112" i="35"/>
  <c r="AD112" i="35"/>
  <c r="AC112" i="35"/>
  <c r="AB112" i="35"/>
  <c r="AA112" i="35"/>
  <c r="Z112" i="35"/>
  <c r="Y112" i="35"/>
  <c r="X112" i="35"/>
  <c r="W112" i="35"/>
  <c r="V112" i="35"/>
  <c r="U112" i="35"/>
  <c r="T112" i="35"/>
  <c r="S112" i="35"/>
  <c r="R112" i="35"/>
  <c r="Q112" i="35"/>
  <c r="P112" i="35"/>
  <c r="O112" i="35"/>
  <c r="N112" i="35"/>
  <c r="M112" i="35"/>
  <c r="L112" i="35"/>
  <c r="K112" i="35"/>
  <c r="J112" i="35"/>
  <c r="I112" i="35"/>
  <c r="G112" i="35"/>
  <c r="F112" i="35"/>
  <c r="E112" i="35"/>
  <c r="AI111" i="35"/>
  <c r="AH111" i="35"/>
  <c r="AG111" i="35"/>
  <c r="AF111" i="35"/>
  <c r="AE111" i="35"/>
  <c r="AD111" i="35"/>
  <c r="AC111" i="35"/>
  <c r="AB111" i="35"/>
  <c r="AA111" i="35"/>
  <c r="Z111" i="35"/>
  <c r="Y111" i="35"/>
  <c r="X111" i="35"/>
  <c r="W111" i="35"/>
  <c r="V111" i="35"/>
  <c r="U111" i="35"/>
  <c r="T111" i="35"/>
  <c r="S111" i="35"/>
  <c r="R111" i="35"/>
  <c r="Q111" i="35"/>
  <c r="P111" i="35"/>
  <c r="O111" i="35"/>
  <c r="N111" i="35"/>
  <c r="M111" i="35"/>
  <c r="L111" i="35"/>
  <c r="K111" i="35"/>
  <c r="J111" i="35"/>
  <c r="I111" i="35"/>
  <c r="G111" i="35"/>
  <c r="F111" i="35"/>
  <c r="E111" i="35"/>
  <c r="AI110" i="35"/>
  <c r="AH110" i="35"/>
  <c r="AG110" i="35"/>
  <c r="AF110" i="35"/>
  <c r="AE110" i="35"/>
  <c r="AD110" i="35"/>
  <c r="AC110" i="35"/>
  <c r="AB110" i="35"/>
  <c r="AA110" i="35"/>
  <c r="Z110" i="35"/>
  <c r="Y110" i="35"/>
  <c r="X110" i="35"/>
  <c r="W110" i="35"/>
  <c r="V110" i="35"/>
  <c r="U110" i="35"/>
  <c r="T110" i="35"/>
  <c r="S110" i="35"/>
  <c r="R110" i="35"/>
  <c r="Q110" i="35"/>
  <c r="P110" i="35"/>
  <c r="O110" i="35"/>
  <c r="N110" i="35"/>
  <c r="M110" i="35"/>
  <c r="L110" i="35"/>
  <c r="K110" i="35"/>
  <c r="J110" i="35"/>
  <c r="I110" i="35"/>
  <c r="G110" i="35"/>
  <c r="F110" i="35"/>
  <c r="E110" i="35"/>
  <c r="AI109" i="35"/>
  <c r="AH109" i="35"/>
  <c r="AG109" i="35"/>
  <c r="AF109" i="35"/>
  <c r="AE109" i="35"/>
  <c r="AD109" i="35"/>
  <c r="AC109" i="35"/>
  <c r="AB109" i="35"/>
  <c r="AA109" i="35"/>
  <c r="Z109" i="35"/>
  <c r="Y109" i="35"/>
  <c r="X109" i="35"/>
  <c r="W109" i="35"/>
  <c r="V109" i="35"/>
  <c r="U109" i="35"/>
  <c r="T109" i="35"/>
  <c r="S109" i="35"/>
  <c r="R109" i="35"/>
  <c r="Q109" i="35"/>
  <c r="P109" i="35"/>
  <c r="O109" i="35"/>
  <c r="N109" i="35"/>
  <c r="M109" i="35"/>
  <c r="L109" i="35"/>
  <c r="K109" i="35"/>
  <c r="J109" i="35"/>
  <c r="I109" i="35"/>
  <c r="G109" i="35"/>
  <c r="F109" i="35"/>
  <c r="E109" i="35"/>
  <c r="AI108" i="35"/>
  <c r="AH108" i="35"/>
  <c r="AG108" i="35"/>
  <c r="AF108" i="35"/>
  <c r="AE108" i="35"/>
  <c r="AD108" i="35"/>
  <c r="AC108" i="35"/>
  <c r="AB108" i="35"/>
  <c r="AA108" i="35"/>
  <c r="Z108" i="35"/>
  <c r="Y108" i="35"/>
  <c r="X108" i="35"/>
  <c r="W108" i="35"/>
  <c r="V108" i="35"/>
  <c r="U108" i="35"/>
  <c r="T108" i="35"/>
  <c r="S108" i="35"/>
  <c r="R108" i="35"/>
  <c r="Q108" i="35"/>
  <c r="P108" i="35"/>
  <c r="O108" i="35"/>
  <c r="N108" i="35"/>
  <c r="M108" i="35"/>
  <c r="L108" i="35"/>
  <c r="K108" i="35"/>
  <c r="J108" i="35"/>
  <c r="I108" i="35"/>
  <c r="G108" i="35"/>
  <c r="F108" i="35"/>
  <c r="E108" i="35"/>
  <c r="AI107" i="35"/>
  <c r="AH107" i="35"/>
  <c r="AG107" i="35"/>
  <c r="AF107" i="35"/>
  <c r="AE107" i="35"/>
  <c r="AD107" i="35"/>
  <c r="AC107" i="35"/>
  <c r="AB107" i="35"/>
  <c r="AA107" i="35"/>
  <c r="Z107" i="35"/>
  <c r="Y107" i="35"/>
  <c r="X107" i="35"/>
  <c r="W107" i="35"/>
  <c r="V107" i="35"/>
  <c r="U107" i="35"/>
  <c r="T107" i="35"/>
  <c r="S107" i="35"/>
  <c r="R107" i="35"/>
  <c r="Q107" i="35"/>
  <c r="P107" i="35"/>
  <c r="O107" i="35"/>
  <c r="N107" i="35"/>
  <c r="M107" i="35"/>
  <c r="L107" i="35"/>
  <c r="K107" i="35"/>
  <c r="J107" i="35"/>
  <c r="I107" i="35"/>
  <c r="G107" i="35"/>
  <c r="F107" i="35"/>
  <c r="E107" i="35"/>
  <c r="AI106" i="35"/>
  <c r="AH106" i="35"/>
  <c r="AG106" i="35"/>
  <c r="AF106" i="35"/>
  <c r="AE106" i="35"/>
  <c r="AD106" i="35"/>
  <c r="AC106" i="35"/>
  <c r="AB106" i="35"/>
  <c r="AA106" i="35"/>
  <c r="Z106" i="35"/>
  <c r="Y106" i="35"/>
  <c r="X106" i="35"/>
  <c r="W106" i="35"/>
  <c r="V106" i="35"/>
  <c r="U106" i="35"/>
  <c r="T106" i="35"/>
  <c r="S106" i="35"/>
  <c r="R106" i="35"/>
  <c r="Q106" i="35"/>
  <c r="P106" i="35"/>
  <c r="O106" i="35"/>
  <c r="N106" i="35"/>
  <c r="M106" i="35"/>
  <c r="L106" i="35"/>
  <c r="K106" i="35"/>
  <c r="J106" i="35"/>
  <c r="I106" i="35"/>
  <c r="G106" i="35"/>
  <c r="F106" i="35"/>
  <c r="E106" i="35"/>
  <c r="AI105" i="35"/>
  <c r="AH105" i="35"/>
  <c r="AG105" i="35"/>
  <c r="AF105" i="35"/>
  <c r="AE105" i="35"/>
  <c r="AD105" i="35"/>
  <c r="AC105" i="35"/>
  <c r="AB105" i="35"/>
  <c r="AA105" i="35"/>
  <c r="Z105" i="35"/>
  <c r="Y105" i="35"/>
  <c r="X105" i="35"/>
  <c r="W105" i="35"/>
  <c r="V105" i="35"/>
  <c r="U105" i="35"/>
  <c r="T105" i="35"/>
  <c r="S105" i="35"/>
  <c r="R105" i="35"/>
  <c r="Q105" i="35"/>
  <c r="P105" i="35"/>
  <c r="O105" i="35"/>
  <c r="N105" i="35"/>
  <c r="M105" i="35"/>
  <c r="L105" i="35"/>
  <c r="K105" i="35"/>
  <c r="J105" i="35"/>
  <c r="I105" i="35"/>
  <c r="G105" i="35"/>
  <c r="F105" i="35"/>
  <c r="E105" i="35"/>
  <c r="AI104" i="35"/>
  <c r="AH104" i="35"/>
  <c r="AG104" i="35"/>
  <c r="AF104" i="35"/>
  <c r="AE104" i="35"/>
  <c r="AD104" i="35"/>
  <c r="AC104" i="35"/>
  <c r="AB104" i="35"/>
  <c r="AA104" i="35"/>
  <c r="Z104" i="35"/>
  <c r="Y104" i="35"/>
  <c r="X104" i="35"/>
  <c r="W104" i="35"/>
  <c r="V104" i="35"/>
  <c r="U104" i="35"/>
  <c r="T104" i="35"/>
  <c r="S104" i="35"/>
  <c r="R104" i="35"/>
  <c r="Q104" i="35"/>
  <c r="P104" i="35"/>
  <c r="O104" i="35"/>
  <c r="N104" i="35"/>
  <c r="M104" i="35"/>
  <c r="L104" i="35"/>
  <c r="K104" i="35"/>
  <c r="J104" i="35"/>
  <c r="I104" i="35"/>
  <c r="G104" i="35"/>
  <c r="F104" i="35"/>
  <c r="E104" i="35"/>
  <c r="AI103" i="35"/>
  <c r="AH103" i="35"/>
  <c r="AG103" i="35"/>
  <c r="AF103" i="35"/>
  <c r="AE103" i="35"/>
  <c r="AD103" i="35"/>
  <c r="AC103" i="35"/>
  <c r="AB103" i="35"/>
  <c r="AA103" i="35"/>
  <c r="Z103" i="35"/>
  <c r="Y103" i="35"/>
  <c r="X103" i="35"/>
  <c r="W103" i="35"/>
  <c r="V103" i="35"/>
  <c r="U103" i="35"/>
  <c r="T103" i="35"/>
  <c r="S103" i="35"/>
  <c r="R103" i="35"/>
  <c r="Q103" i="35"/>
  <c r="P103" i="35"/>
  <c r="O103" i="35"/>
  <c r="N103" i="35"/>
  <c r="M103" i="35"/>
  <c r="L103" i="35"/>
  <c r="K103" i="35"/>
  <c r="J103" i="35"/>
  <c r="I103" i="35"/>
  <c r="G103" i="35"/>
  <c r="F103" i="35"/>
  <c r="E103" i="35"/>
  <c r="AI102" i="35"/>
  <c r="AH102" i="35"/>
  <c r="AG102" i="35"/>
  <c r="AF102" i="35"/>
  <c r="AE102" i="35"/>
  <c r="AD102" i="35"/>
  <c r="AC102" i="35"/>
  <c r="AB102" i="35"/>
  <c r="AA102" i="35"/>
  <c r="Z102" i="35"/>
  <c r="Y102" i="35"/>
  <c r="X102" i="35"/>
  <c r="W102" i="35"/>
  <c r="V102" i="35"/>
  <c r="U102" i="35"/>
  <c r="T102" i="35"/>
  <c r="S102" i="35"/>
  <c r="R102" i="35"/>
  <c r="Q102" i="35"/>
  <c r="P102" i="35"/>
  <c r="O102" i="35"/>
  <c r="N102" i="35"/>
  <c r="M102" i="35"/>
  <c r="L102" i="35"/>
  <c r="K102" i="35"/>
  <c r="J102" i="35"/>
  <c r="I102" i="35"/>
  <c r="G102" i="35"/>
  <c r="F102" i="35"/>
  <c r="E102" i="35"/>
  <c r="AI101" i="35"/>
  <c r="AH101" i="35"/>
  <c r="AG101" i="35"/>
  <c r="AF101" i="35"/>
  <c r="AE101" i="35"/>
  <c r="AD101" i="35"/>
  <c r="AC101" i="35"/>
  <c r="AB101" i="35"/>
  <c r="AA101" i="35"/>
  <c r="Z101" i="35"/>
  <c r="Y101" i="35"/>
  <c r="X101" i="35"/>
  <c r="W101" i="35"/>
  <c r="V101" i="35"/>
  <c r="U101" i="35"/>
  <c r="T101" i="35"/>
  <c r="S101" i="35"/>
  <c r="R101" i="35"/>
  <c r="Q101" i="35"/>
  <c r="P101" i="35"/>
  <c r="O101" i="35"/>
  <c r="N101" i="35"/>
  <c r="M101" i="35"/>
  <c r="L101" i="35"/>
  <c r="K101" i="35"/>
  <c r="J101" i="35"/>
  <c r="I101" i="35"/>
  <c r="G101" i="35"/>
  <c r="F101" i="35"/>
  <c r="E101" i="35"/>
  <c r="AI100" i="35"/>
  <c r="AH100" i="35"/>
  <c r="AG100" i="35"/>
  <c r="AF100" i="35"/>
  <c r="AE100" i="35"/>
  <c r="AD100" i="35"/>
  <c r="AC100" i="35"/>
  <c r="AB100" i="35"/>
  <c r="AA100" i="35"/>
  <c r="Z100" i="35"/>
  <c r="Y100" i="35"/>
  <c r="X100" i="35"/>
  <c r="W100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I100" i="35"/>
  <c r="G100" i="35"/>
  <c r="F100" i="35"/>
  <c r="E100" i="35"/>
  <c r="AI99" i="35"/>
  <c r="AH99" i="35"/>
  <c r="AG99" i="35"/>
  <c r="AF99" i="35"/>
  <c r="AE99" i="35"/>
  <c r="AD99" i="35"/>
  <c r="AC99" i="35"/>
  <c r="AB99" i="35"/>
  <c r="AA99" i="35"/>
  <c r="Z99" i="35"/>
  <c r="Y99" i="35"/>
  <c r="X99" i="35"/>
  <c r="W99" i="35"/>
  <c r="V99" i="35"/>
  <c r="U99" i="35"/>
  <c r="T99" i="35"/>
  <c r="S99" i="35"/>
  <c r="R99" i="35"/>
  <c r="Q99" i="35"/>
  <c r="P99" i="35"/>
  <c r="O99" i="35"/>
  <c r="N99" i="35"/>
  <c r="M99" i="35"/>
  <c r="L99" i="35"/>
  <c r="K99" i="35"/>
  <c r="J99" i="35"/>
  <c r="I99" i="35"/>
  <c r="G99" i="35"/>
  <c r="F99" i="35"/>
  <c r="E99" i="35"/>
  <c r="AI98" i="35"/>
  <c r="AH98" i="35"/>
  <c r="AG98" i="35"/>
  <c r="AF98" i="35"/>
  <c r="AE98" i="35"/>
  <c r="AD98" i="35"/>
  <c r="AC98" i="35"/>
  <c r="AB98" i="35"/>
  <c r="AA98" i="35"/>
  <c r="Z98" i="35"/>
  <c r="Y98" i="35"/>
  <c r="X98" i="35"/>
  <c r="W98" i="35"/>
  <c r="V98" i="35"/>
  <c r="U98" i="35"/>
  <c r="T98" i="35"/>
  <c r="S98" i="35"/>
  <c r="R98" i="35"/>
  <c r="Q98" i="35"/>
  <c r="P98" i="35"/>
  <c r="O98" i="35"/>
  <c r="N98" i="35"/>
  <c r="M98" i="35"/>
  <c r="L98" i="35"/>
  <c r="K98" i="35"/>
  <c r="J98" i="35"/>
  <c r="I98" i="35"/>
  <c r="G98" i="35"/>
  <c r="F98" i="35"/>
  <c r="E98" i="35"/>
  <c r="AI97" i="35"/>
  <c r="AH97" i="35"/>
  <c r="AG97" i="35"/>
  <c r="AF97" i="35"/>
  <c r="AE97" i="35"/>
  <c r="AD97" i="35"/>
  <c r="AC97" i="35"/>
  <c r="AB97" i="35"/>
  <c r="AA97" i="35"/>
  <c r="Z97" i="35"/>
  <c r="Y97" i="35"/>
  <c r="X97" i="35"/>
  <c r="W97" i="35"/>
  <c r="V97" i="35"/>
  <c r="U97" i="35"/>
  <c r="T97" i="35"/>
  <c r="S97" i="35"/>
  <c r="R97" i="35"/>
  <c r="Q97" i="35"/>
  <c r="P97" i="35"/>
  <c r="O97" i="35"/>
  <c r="N97" i="35"/>
  <c r="M97" i="35"/>
  <c r="L97" i="35"/>
  <c r="K97" i="35"/>
  <c r="J97" i="35"/>
  <c r="I97" i="35"/>
  <c r="G97" i="35"/>
  <c r="F97" i="35"/>
  <c r="E97" i="35"/>
  <c r="AI96" i="35"/>
  <c r="AH96" i="35"/>
  <c r="AG96" i="35"/>
  <c r="AF96" i="35"/>
  <c r="AE96" i="35"/>
  <c r="AD96" i="35"/>
  <c r="AC96" i="35"/>
  <c r="AB96" i="35"/>
  <c r="AA96" i="35"/>
  <c r="Z96" i="35"/>
  <c r="Y96" i="35"/>
  <c r="X96" i="35"/>
  <c r="W96" i="35"/>
  <c r="V96" i="35"/>
  <c r="U96" i="35"/>
  <c r="T96" i="35"/>
  <c r="S96" i="35"/>
  <c r="R96" i="35"/>
  <c r="Q96" i="35"/>
  <c r="P96" i="35"/>
  <c r="O96" i="35"/>
  <c r="N96" i="35"/>
  <c r="M96" i="35"/>
  <c r="L96" i="35"/>
  <c r="K96" i="35"/>
  <c r="J96" i="35"/>
  <c r="I96" i="35"/>
  <c r="G96" i="35"/>
  <c r="F96" i="35"/>
  <c r="E96" i="35"/>
  <c r="AI95" i="35"/>
  <c r="AH95" i="35"/>
  <c r="AG95" i="35"/>
  <c r="AF95" i="35"/>
  <c r="AE95" i="35"/>
  <c r="AD95" i="35"/>
  <c r="AC95" i="35"/>
  <c r="AB95" i="35"/>
  <c r="AA95" i="35"/>
  <c r="Z95" i="35"/>
  <c r="Y95" i="35"/>
  <c r="X95" i="35"/>
  <c r="W95" i="35"/>
  <c r="V95" i="35"/>
  <c r="U95" i="35"/>
  <c r="T95" i="35"/>
  <c r="S95" i="35"/>
  <c r="R95" i="35"/>
  <c r="Q95" i="35"/>
  <c r="P95" i="35"/>
  <c r="O95" i="35"/>
  <c r="N95" i="35"/>
  <c r="M95" i="35"/>
  <c r="L95" i="35"/>
  <c r="K95" i="35"/>
  <c r="J95" i="35"/>
  <c r="I95" i="35"/>
  <c r="G95" i="35"/>
  <c r="F95" i="35"/>
  <c r="E95" i="35"/>
  <c r="AI94" i="35"/>
  <c r="AH94" i="35"/>
  <c r="AG94" i="35"/>
  <c r="AF94" i="35"/>
  <c r="AE94" i="35"/>
  <c r="AD94" i="35"/>
  <c r="AC94" i="35"/>
  <c r="AB94" i="35"/>
  <c r="AA94" i="35"/>
  <c r="Z94" i="35"/>
  <c r="Y94" i="35"/>
  <c r="X94" i="35"/>
  <c r="W94" i="35"/>
  <c r="V94" i="35"/>
  <c r="U94" i="35"/>
  <c r="T94" i="35"/>
  <c r="S94" i="35"/>
  <c r="R94" i="35"/>
  <c r="Q94" i="35"/>
  <c r="P94" i="35"/>
  <c r="O94" i="35"/>
  <c r="N94" i="35"/>
  <c r="M94" i="35"/>
  <c r="L94" i="35"/>
  <c r="K94" i="35"/>
  <c r="J94" i="35"/>
  <c r="I94" i="35"/>
  <c r="G94" i="35"/>
  <c r="F94" i="35"/>
  <c r="E94" i="35"/>
  <c r="AI93" i="35"/>
  <c r="AH93" i="35"/>
  <c r="AG93" i="35"/>
  <c r="AF93" i="35"/>
  <c r="AE93" i="35"/>
  <c r="AD93" i="35"/>
  <c r="AC93" i="35"/>
  <c r="AB93" i="35"/>
  <c r="AA93" i="35"/>
  <c r="Z93" i="35"/>
  <c r="Y93" i="35"/>
  <c r="X93" i="35"/>
  <c r="W93" i="35"/>
  <c r="V93" i="35"/>
  <c r="U93" i="35"/>
  <c r="T93" i="35"/>
  <c r="S93" i="35"/>
  <c r="R93" i="35"/>
  <c r="Q93" i="35"/>
  <c r="P93" i="35"/>
  <c r="O93" i="35"/>
  <c r="N93" i="35"/>
  <c r="M93" i="35"/>
  <c r="L93" i="35"/>
  <c r="K93" i="35"/>
  <c r="J93" i="35"/>
  <c r="I93" i="35"/>
  <c r="G93" i="35"/>
  <c r="F93" i="35"/>
  <c r="E93" i="35"/>
  <c r="AI92" i="35"/>
  <c r="AH92" i="35"/>
  <c r="AG92" i="35"/>
  <c r="AF92" i="35"/>
  <c r="AE92" i="35"/>
  <c r="AD92" i="35"/>
  <c r="AC92" i="35"/>
  <c r="AB92" i="35"/>
  <c r="AA92" i="35"/>
  <c r="Z92" i="35"/>
  <c r="Y92" i="35"/>
  <c r="X92" i="35"/>
  <c r="W92" i="35"/>
  <c r="V92" i="35"/>
  <c r="U92" i="35"/>
  <c r="T92" i="35"/>
  <c r="S92" i="35"/>
  <c r="R92" i="35"/>
  <c r="Q92" i="35"/>
  <c r="P92" i="35"/>
  <c r="O92" i="35"/>
  <c r="N92" i="35"/>
  <c r="M92" i="35"/>
  <c r="L92" i="35"/>
  <c r="K92" i="35"/>
  <c r="J92" i="35"/>
  <c r="I92" i="35"/>
  <c r="G92" i="35"/>
  <c r="F92" i="35"/>
  <c r="E92" i="35"/>
  <c r="AI91" i="35"/>
  <c r="AH91" i="35"/>
  <c r="AG91" i="35"/>
  <c r="AF91" i="35"/>
  <c r="AE91" i="35"/>
  <c r="AD91" i="35"/>
  <c r="AC91" i="35"/>
  <c r="AB91" i="35"/>
  <c r="AA91" i="35"/>
  <c r="Z91" i="35"/>
  <c r="Y91" i="35"/>
  <c r="X91" i="35"/>
  <c r="W91" i="35"/>
  <c r="V91" i="35"/>
  <c r="U91" i="35"/>
  <c r="T91" i="35"/>
  <c r="S91" i="35"/>
  <c r="R91" i="35"/>
  <c r="Q91" i="35"/>
  <c r="P91" i="35"/>
  <c r="O91" i="35"/>
  <c r="N91" i="35"/>
  <c r="M91" i="35"/>
  <c r="L91" i="35"/>
  <c r="K91" i="35"/>
  <c r="J91" i="35"/>
  <c r="I91" i="35"/>
  <c r="G91" i="35"/>
  <c r="F91" i="35"/>
  <c r="E91" i="35"/>
  <c r="AI90" i="35"/>
  <c r="AH90" i="35"/>
  <c r="AG90" i="35"/>
  <c r="AF90" i="35"/>
  <c r="AE90" i="35"/>
  <c r="AD90" i="35"/>
  <c r="AC90" i="35"/>
  <c r="AB90" i="35"/>
  <c r="AA90" i="35"/>
  <c r="Z90" i="35"/>
  <c r="Y90" i="35"/>
  <c r="X90" i="35"/>
  <c r="W90" i="35"/>
  <c r="V90" i="35"/>
  <c r="U90" i="35"/>
  <c r="T90" i="35"/>
  <c r="S90" i="35"/>
  <c r="R90" i="35"/>
  <c r="Q90" i="35"/>
  <c r="P90" i="35"/>
  <c r="O90" i="35"/>
  <c r="N90" i="35"/>
  <c r="M90" i="35"/>
  <c r="L90" i="35"/>
  <c r="K90" i="35"/>
  <c r="J90" i="35"/>
  <c r="I90" i="35"/>
  <c r="G90" i="35"/>
  <c r="F90" i="35"/>
  <c r="E90" i="35"/>
  <c r="AI89" i="35"/>
  <c r="AH89" i="35"/>
  <c r="AG89" i="35"/>
  <c r="AF89" i="35"/>
  <c r="AE89" i="35"/>
  <c r="AD89" i="35"/>
  <c r="AC89" i="35"/>
  <c r="AB89" i="35"/>
  <c r="AA89" i="35"/>
  <c r="Z89" i="35"/>
  <c r="Y89" i="35"/>
  <c r="X89" i="35"/>
  <c r="W89" i="35"/>
  <c r="V89" i="35"/>
  <c r="U89" i="35"/>
  <c r="T89" i="35"/>
  <c r="S89" i="35"/>
  <c r="R89" i="35"/>
  <c r="Q89" i="35"/>
  <c r="P89" i="35"/>
  <c r="O89" i="35"/>
  <c r="N89" i="35"/>
  <c r="M89" i="35"/>
  <c r="L89" i="35"/>
  <c r="K89" i="35"/>
  <c r="J89" i="35"/>
  <c r="I89" i="35"/>
  <c r="G89" i="35"/>
  <c r="F89" i="35"/>
  <c r="E89" i="35"/>
  <c r="AI146" i="35"/>
  <c r="AH146" i="35"/>
  <c r="AG146" i="35"/>
  <c r="AF146" i="35"/>
  <c r="AE146" i="35"/>
  <c r="AD146" i="35"/>
  <c r="AC146" i="35"/>
  <c r="AB146" i="35"/>
  <c r="AA146" i="35"/>
  <c r="Z146" i="35"/>
  <c r="Y146" i="35"/>
  <c r="X146" i="35"/>
  <c r="W146" i="35"/>
  <c r="V146" i="35"/>
  <c r="U146" i="35"/>
  <c r="T146" i="35"/>
  <c r="S146" i="35"/>
  <c r="R146" i="35"/>
  <c r="Q146" i="35"/>
  <c r="P146" i="35"/>
  <c r="O146" i="35"/>
  <c r="N146" i="35"/>
  <c r="M146" i="35"/>
  <c r="L146" i="35"/>
  <c r="K146" i="35"/>
  <c r="J146" i="35"/>
  <c r="I146" i="35"/>
  <c r="G146" i="35"/>
  <c r="F146" i="35"/>
  <c r="E146" i="35"/>
  <c r="AI88" i="35"/>
  <c r="AH88" i="35"/>
  <c r="AG88" i="35"/>
  <c r="AF88" i="35"/>
  <c r="AE88" i="35"/>
  <c r="AD88" i="35"/>
  <c r="AC88" i="35"/>
  <c r="AB88" i="35"/>
  <c r="AA88" i="35"/>
  <c r="Z88" i="35"/>
  <c r="Y88" i="35"/>
  <c r="X88" i="35"/>
  <c r="W88" i="35"/>
  <c r="V88" i="35"/>
  <c r="U88" i="35"/>
  <c r="T88" i="35"/>
  <c r="S88" i="35"/>
  <c r="R88" i="35"/>
  <c r="Q88" i="35"/>
  <c r="P88" i="35"/>
  <c r="O88" i="35"/>
  <c r="N88" i="35"/>
  <c r="M88" i="35"/>
  <c r="L88" i="35"/>
  <c r="K88" i="35"/>
  <c r="J88" i="35"/>
  <c r="I88" i="35"/>
  <c r="G88" i="35"/>
  <c r="F88" i="35"/>
  <c r="E88" i="35"/>
  <c r="AI87" i="35"/>
  <c r="AH87" i="35"/>
  <c r="AG87" i="35"/>
  <c r="AF87" i="35"/>
  <c r="AE87" i="35"/>
  <c r="AD87" i="35"/>
  <c r="AC87" i="35"/>
  <c r="AB87" i="35"/>
  <c r="AA87" i="35"/>
  <c r="Z87" i="35"/>
  <c r="Y87" i="35"/>
  <c r="X87" i="35"/>
  <c r="W87" i="35"/>
  <c r="V87" i="35"/>
  <c r="U87" i="35"/>
  <c r="T87" i="35"/>
  <c r="S87" i="35"/>
  <c r="R87" i="35"/>
  <c r="Q87" i="35"/>
  <c r="P87" i="35"/>
  <c r="O87" i="35"/>
  <c r="N87" i="35"/>
  <c r="M87" i="35"/>
  <c r="L87" i="35"/>
  <c r="K87" i="35"/>
  <c r="J87" i="35"/>
  <c r="I87" i="35"/>
  <c r="G87" i="35"/>
  <c r="F87" i="35"/>
  <c r="E87" i="35"/>
  <c r="AI86" i="35"/>
  <c r="AH86" i="35"/>
  <c r="AG86" i="35"/>
  <c r="AF86" i="35"/>
  <c r="AE86" i="35"/>
  <c r="AD86" i="35"/>
  <c r="AC86" i="35"/>
  <c r="AB86" i="35"/>
  <c r="AA86" i="35"/>
  <c r="Z86" i="35"/>
  <c r="Y86" i="35"/>
  <c r="X86" i="35"/>
  <c r="W86" i="35"/>
  <c r="V86" i="35"/>
  <c r="U86" i="35"/>
  <c r="T86" i="35"/>
  <c r="S86" i="35"/>
  <c r="R86" i="35"/>
  <c r="Q86" i="35"/>
  <c r="P86" i="35"/>
  <c r="O86" i="35"/>
  <c r="N86" i="35"/>
  <c r="M86" i="35"/>
  <c r="L86" i="35"/>
  <c r="K86" i="35"/>
  <c r="J86" i="35"/>
  <c r="I86" i="35"/>
  <c r="G86" i="35"/>
  <c r="F86" i="35"/>
  <c r="E86" i="35"/>
  <c r="AI85" i="35"/>
  <c r="AH85" i="35"/>
  <c r="AG85" i="35"/>
  <c r="AF85" i="35"/>
  <c r="AE85" i="35"/>
  <c r="AD85" i="35"/>
  <c r="AC85" i="35"/>
  <c r="AB85" i="35"/>
  <c r="AA85" i="35"/>
  <c r="Z85" i="35"/>
  <c r="Y85" i="35"/>
  <c r="X85" i="35"/>
  <c r="W85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I85" i="35"/>
  <c r="G85" i="35"/>
  <c r="F85" i="35"/>
  <c r="E85" i="35"/>
  <c r="AI84" i="35"/>
  <c r="AH84" i="35"/>
  <c r="AG84" i="35"/>
  <c r="AF84" i="35"/>
  <c r="AE84" i="35"/>
  <c r="AD84" i="35"/>
  <c r="AC84" i="35"/>
  <c r="AB84" i="35"/>
  <c r="AA84" i="35"/>
  <c r="Z84" i="35"/>
  <c r="Y84" i="35"/>
  <c r="X84" i="35"/>
  <c r="W84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I84" i="35"/>
  <c r="G84" i="35"/>
  <c r="F84" i="35"/>
  <c r="E84" i="35"/>
  <c r="AI83" i="35"/>
  <c r="AH83" i="35"/>
  <c r="AG83" i="35"/>
  <c r="AF83" i="35"/>
  <c r="AE83" i="35"/>
  <c r="AD83" i="35"/>
  <c r="AC83" i="35"/>
  <c r="AB83" i="35"/>
  <c r="AA83" i="35"/>
  <c r="Z83" i="35"/>
  <c r="Y83" i="35"/>
  <c r="X83" i="35"/>
  <c r="W83" i="35"/>
  <c r="V83" i="35"/>
  <c r="U83" i="35"/>
  <c r="T83" i="35"/>
  <c r="S83" i="35"/>
  <c r="R83" i="35"/>
  <c r="Q83" i="35"/>
  <c r="P83" i="35"/>
  <c r="O83" i="35"/>
  <c r="N83" i="35"/>
  <c r="M83" i="35"/>
  <c r="L83" i="35"/>
  <c r="K83" i="35"/>
  <c r="J83" i="35"/>
  <c r="I83" i="35"/>
  <c r="G83" i="35"/>
  <c r="F83" i="35"/>
  <c r="E83" i="35"/>
  <c r="AI82" i="35"/>
  <c r="AH82" i="35"/>
  <c r="AG82" i="35"/>
  <c r="AF82" i="35"/>
  <c r="AE82" i="35"/>
  <c r="AD82" i="35"/>
  <c r="AC82" i="35"/>
  <c r="AB82" i="35"/>
  <c r="AA82" i="35"/>
  <c r="Z82" i="35"/>
  <c r="Y82" i="35"/>
  <c r="X82" i="35"/>
  <c r="W82" i="35"/>
  <c r="V82" i="35"/>
  <c r="U82" i="35"/>
  <c r="T82" i="35"/>
  <c r="S82" i="35"/>
  <c r="R82" i="35"/>
  <c r="Q82" i="35"/>
  <c r="P82" i="35"/>
  <c r="O82" i="35"/>
  <c r="N82" i="35"/>
  <c r="M82" i="35"/>
  <c r="L82" i="35"/>
  <c r="K82" i="35"/>
  <c r="J82" i="35"/>
  <c r="I82" i="35"/>
  <c r="G82" i="35"/>
  <c r="F82" i="35"/>
  <c r="E82" i="35"/>
  <c r="AI81" i="35"/>
  <c r="AH81" i="35"/>
  <c r="AG81" i="35"/>
  <c r="AF81" i="35"/>
  <c r="AE81" i="35"/>
  <c r="AD81" i="35"/>
  <c r="AC81" i="35"/>
  <c r="AB81" i="35"/>
  <c r="AA81" i="35"/>
  <c r="Z81" i="35"/>
  <c r="Y81" i="35"/>
  <c r="X81" i="35"/>
  <c r="W81" i="35"/>
  <c r="V81" i="35"/>
  <c r="U81" i="35"/>
  <c r="T81" i="35"/>
  <c r="S81" i="35"/>
  <c r="R81" i="35"/>
  <c r="Q81" i="35"/>
  <c r="P81" i="35"/>
  <c r="O81" i="35"/>
  <c r="N81" i="35"/>
  <c r="M81" i="35"/>
  <c r="L81" i="35"/>
  <c r="K81" i="35"/>
  <c r="J81" i="35"/>
  <c r="I81" i="35"/>
  <c r="G81" i="35"/>
  <c r="F81" i="35"/>
  <c r="E81" i="35"/>
  <c r="AI80" i="35"/>
  <c r="AH80" i="35"/>
  <c r="AG80" i="35"/>
  <c r="AF80" i="35"/>
  <c r="AE80" i="35"/>
  <c r="AD80" i="35"/>
  <c r="AC80" i="35"/>
  <c r="AB80" i="35"/>
  <c r="AA80" i="35"/>
  <c r="Z80" i="35"/>
  <c r="Y80" i="35"/>
  <c r="X80" i="35"/>
  <c r="W80" i="35"/>
  <c r="V80" i="35"/>
  <c r="U80" i="35"/>
  <c r="T80" i="35"/>
  <c r="S80" i="35"/>
  <c r="R80" i="35"/>
  <c r="Q80" i="35"/>
  <c r="P80" i="35"/>
  <c r="O80" i="35"/>
  <c r="N80" i="35"/>
  <c r="M80" i="35"/>
  <c r="L80" i="35"/>
  <c r="K80" i="35"/>
  <c r="J80" i="35"/>
  <c r="I80" i="35"/>
  <c r="G80" i="35"/>
  <c r="F80" i="35"/>
  <c r="E80" i="35"/>
  <c r="AI79" i="35"/>
  <c r="AH79" i="35"/>
  <c r="AG79" i="35"/>
  <c r="AF79" i="35"/>
  <c r="AE79" i="35"/>
  <c r="AD79" i="35"/>
  <c r="AC79" i="35"/>
  <c r="AB79" i="35"/>
  <c r="AA79" i="35"/>
  <c r="Z79" i="35"/>
  <c r="Y79" i="35"/>
  <c r="X79" i="35"/>
  <c r="W79" i="35"/>
  <c r="V79" i="35"/>
  <c r="U79" i="35"/>
  <c r="T79" i="35"/>
  <c r="S79" i="35"/>
  <c r="R79" i="35"/>
  <c r="Q79" i="35"/>
  <c r="P79" i="35"/>
  <c r="O79" i="35"/>
  <c r="N79" i="35"/>
  <c r="M79" i="35"/>
  <c r="L79" i="35"/>
  <c r="K79" i="35"/>
  <c r="J79" i="35"/>
  <c r="I79" i="35"/>
  <c r="G79" i="35"/>
  <c r="F79" i="35"/>
  <c r="E79" i="35"/>
  <c r="AI78" i="35"/>
  <c r="AH78" i="35"/>
  <c r="AG78" i="35"/>
  <c r="AF78" i="35"/>
  <c r="AE78" i="35"/>
  <c r="AD78" i="35"/>
  <c r="AC78" i="35"/>
  <c r="AB78" i="35"/>
  <c r="AA78" i="35"/>
  <c r="Z78" i="35"/>
  <c r="Y78" i="35"/>
  <c r="X78" i="35"/>
  <c r="W78" i="35"/>
  <c r="V78" i="35"/>
  <c r="U78" i="35"/>
  <c r="T78" i="35"/>
  <c r="S78" i="35"/>
  <c r="R78" i="35"/>
  <c r="Q78" i="35"/>
  <c r="P78" i="35"/>
  <c r="O78" i="35"/>
  <c r="N78" i="35"/>
  <c r="M78" i="35"/>
  <c r="L78" i="35"/>
  <c r="K78" i="35"/>
  <c r="J78" i="35"/>
  <c r="I78" i="35"/>
  <c r="G78" i="35"/>
  <c r="F78" i="35"/>
  <c r="E78" i="35"/>
  <c r="AI77" i="35"/>
  <c r="AH77" i="35"/>
  <c r="AG77" i="35"/>
  <c r="AF77" i="35"/>
  <c r="AE77" i="35"/>
  <c r="AD77" i="35"/>
  <c r="AC77" i="35"/>
  <c r="AB77" i="35"/>
  <c r="AA77" i="35"/>
  <c r="Z77" i="35"/>
  <c r="Y77" i="35"/>
  <c r="X77" i="35"/>
  <c r="W77" i="35"/>
  <c r="V77" i="35"/>
  <c r="U77" i="35"/>
  <c r="T77" i="35"/>
  <c r="S77" i="35"/>
  <c r="R77" i="35"/>
  <c r="Q77" i="35"/>
  <c r="P77" i="35"/>
  <c r="O77" i="35"/>
  <c r="N77" i="35"/>
  <c r="M77" i="35"/>
  <c r="L77" i="35"/>
  <c r="K77" i="35"/>
  <c r="J77" i="35"/>
  <c r="I77" i="35"/>
  <c r="G77" i="35"/>
  <c r="F77" i="35"/>
  <c r="E77" i="35"/>
  <c r="AI76" i="35"/>
  <c r="AH76" i="35"/>
  <c r="AG76" i="35"/>
  <c r="AF76" i="35"/>
  <c r="AE76" i="35"/>
  <c r="AD76" i="35"/>
  <c r="AC76" i="35"/>
  <c r="AB76" i="35"/>
  <c r="AA76" i="35"/>
  <c r="Z76" i="35"/>
  <c r="Y76" i="35"/>
  <c r="X76" i="35"/>
  <c r="W76" i="35"/>
  <c r="V76" i="35"/>
  <c r="U76" i="35"/>
  <c r="T76" i="35"/>
  <c r="S76" i="35"/>
  <c r="R76" i="35"/>
  <c r="Q76" i="35"/>
  <c r="P76" i="35"/>
  <c r="O76" i="35"/>
  <c r="N76" i="35"/>
  <c r="M76" i="35"/>
  <c r="L76" i="35"/>
  <c r="K76" i="35"/>
  <c r="J76" i="35"/>
  <c r="I76" i="35"/>
  <c r="G76" i="35"/>
  <c r="F76" i="35"/>
  <c r="E76" i="35"/>
  <c r="AI75" i="35"/>
  <c r="AH75" i="35"/>
  <c r="AG75" i="35"/>
  <c r="AF75" i="35"/>
  <c r="AE75" i="35"/>
  <c r="AD75" i="35"/>
  <c r="AC75" i="35"/>
  <c r="AB75" i="35"/>
  <c r="AA75" i="35"/>
  <c r="Z75" i="35"/>
  <c r="Y75" i="35"/>
  <c r="X75" i="35"/>
  <c r="W75" i="35"/>
  <c r="V75" i="35"/>
  <c r="U75" i="35"/>
  <c r="T75" i="35"/>
  <c r="S75" i="35"/>
  <c r="R75" i="35"/>
  <c r="Q75" i="35"/>
  <c r="P75" i="35"/>
  <c r="O75" i="35"/>
  <c r="N75" i="35"/>
  <c r="M75" i="35"/>
  <c r="L75" i="35"/>
  <c r="K75" i="35"/>
  <c r="J75" i="35"/>
  <c r="I75" i="35"/>
  <c r="G75" i="35"/>
  <c r="F75" i="35"/>
  <c r="E75" i="35"/>
  <c r="AI74" i="35"/>
  <c r="AH74" i="35"/>
  <c r="AG74" i="35"/>
  <c r="AF74" i="35"/>
  <c r="AE74" i="35"/>
  <c r="AD74" i="35"/>
  <c r="AC74" i="35"/>
  <c r="AB74" i="35"/>
  <c r="AA74" i="35"/>
  <c r="Z74" i="35"/>
  <c r="Y74" i="35"/>
  <c r="X74" i="35"/>
  <c r="W74" i="35"/>
  <c r="V74" i="35"/>
  <c r="U74" i="35"/>
  <c r="T74" i="35"/>
  <c r="S74" i="35"/>
  <c r="R74" i="35"/>
  <c r="Q74" i="35"/>
  <c r="P74" i="35"/>
  <c r="O74" i="35"/>
  <c r="N74" i="35"/>
  <c r="M74" i="35"/>
  <c r="L74" i="35"/>
  <c r="K74" i="35"/>
  <c r="J74" i="35"/>
  <c r="I74" i="35"/>
  <c r="G74" i="35"/>
  <c r="F74" i="35"/>
  <c r="E74" i="35"/>
  <c r="AI73" i="35"/>
  <c r="AH73" i="35"/>
  <c r="AG73" i="35"/>
  <c r="AF73" i="35"/>
  <c r="AE73" i="35"/>
  <c r="AD73" i="35"/>
  <c r="AC73" i="35"/>
  <c r="AB73" i="35"/>
  <c r="AA73" i="35"/>
  <c r="Z73" i="35"/>
  <c r="Y73" i="35"/>
  <c r="X73" i="35"/>
  <c r="W73" i="35"/>
  <c r="V73" i="35"/>
  <c r="U73" i="35"/>
  <c r="T73" i="35"/>
  <c r="S73" i="35"/>
  <c r="R73" i="35"/>
  <c r="Q73" i="35"/>
  <c r="P73" i="35"/>
  <c r="O73" i="35"/>
  <c r="N73" i="35"/>
  <c r="M73" i="35"/>
  <c r="L73" i="35"/>
  <c r="K73" i="35"/>
  <c r="J73" i="35"/>
  <c r="I73" i="35"/>
  <c r="G73" i="35"/>
  <c r="F73" i="35"/>
  <c r="E73" i="35"/>
  <c r="AI72" i="35"/>
  <c r="AH72" i="35"/>
  <c r="AG72" i="35"/>
  <c r="AF72" i="35"/>
  <c r="AE72" i="35"/>
  <c r="AD72" i="35"/>
  <c r="AC72" i="35"/>
  <c r="AB72" i="35"/>
  <c r="AA72" i="35"/>
  <c r="Z72" i="35"/>
  <c r="Y72" i="35"/>
  <c r="X72" i="35"/>
  <c r="W72" i="35"/>
  <c r="V72" i="35"/>
  <c r="U72" i="35"/>
  <c r="T72" i="35"/>
  <c r="S72" i="35"/>
  <c r="R72" i="35"/>
  <c r="Q72" i="35"/>
  <c r="P72" i="35"/>
  <c r="O72" i="35"/>
  <c r="N72" i="35"/>
  <c r="M72" i="35"/>
  <c r="L72" i="35"/>
  <c r="K72" i="35"/>
  <c r="J72" i="35"/>
  <c r="I72" i="35"/>
  <c r="G72" i="35"/>
  <c r="F72" i="35"/>
  <c r="E72" i="35"/>
  <c r="AI71" i="35"/>
  <c r="AH71" i="35"/>
  <c r="AG71" i="35"/>
  <c r="AF71" i="35"/>
  <c r="AE71" i="35"/>
  <c r="AD71" i="35"/>
  <c r="AC71" i="35"/>
  <c r="AB71" i="35"/>
  <c r="AA71" i="35"/>
  <c r="Z71" i="35"/>
  <c r="Y71" i="35"/>
  <c r="X71" i="35"/>
  <c r="W71" i="35"/>
  <c r="V71" i="35"/>
  <c r="U71" i="35"/>
  <c r="T71" i="35"/>
  <c r="S71" i="35"/>
  <c r="R71" i="35"/>
  <c r="Q71" i="35"/>
  <c r="P71" i="35"/>
  <c r="O71" i="35"/>
  <c r="N71" i="35"/>
  <c r="M71" i="35"/>
  <c r="L71" i="35"/>
  <c r="K71" i="35"/>
  <c r="J71" i="35"/>
  <c r="I71" i="35"/>
  <c r="G71" i="35"/>
  <c r="F71" i="35"/>
  <c r="E71" i="35"/>
  <c r="AI70" i="35"/>
  <c r="AH70" i="35"/>
  <c r="AG70" i="35"/>
  <c r="AF70" i="35"/>
  <c r="AE70" i="35"/>
  <c r="AD70" i="35"/>
  <c r="AC70" i="35"/>
  <c r="AB70" i="35"/>
  <c r="AA70" i="35"/>
  <c r="Z70" i="35"/>
  <c r="Y70" i="35"/>
  <c r="X70" i="35"/>
  <c r="W70" i="35"/>
  <c r="V70" i="35"/>
  <c r="U70" i="35"/>
  <c r="T70" i="35"/>
  <c r="S70" i="35"/>
  <c r="R70" i="35"/>
  <c r="Q70" i="35"/>
  <c r="P70" i="35"/>
  <c r="O70" i="35"/>
  <c r="N70" i="35"/>
  <c r="M70" i="35"/>
  <c r="L70" i="35"/>
  <c r="K70" i="35"/>
  <c r="J70" i="35"/>
  <c r="I70" i="35"/>
  <c r="G70" i="35"/>
  <c r="F70" i="35"/>
  <c r="E70" i="35"/>
  <c r="AI69" i="35"/>
  <c r="AH69" i="35"/>
  <c r="AG69" i="35"/>
  <c r="AF69" i="35"/>
  <c r="AE69" i="35"/>
  <c r="AD69" i="35"/>
  <c r="AC69" i="35"/>
  <c r="AB69" i="35"/>
  <c r="AA69" i="35"/>
  <c r="Z69" i="35"/>
  <c r="Y69" i="35"/>
  <c r="X69" i="35"/>
  <c r="W69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I69" i="35"/>
  <c r="G69" i="35"/>
  <c r="F69" i="35"/>
  <c r="E69" i="35"/>
  <c r="AI68" i="35"/>
  <c r="AH68" i="35"/>
  <c r="AG68" i="35"/>
  <c r="AF68" i="35"/>
  <c r="AE68" i="35"/>
  <c r="AD68" i="35"/>
  <c r="AC68" i="35"/>
  <c r="AB68" i="35"/>
  <c r="AA68" i="35"/>
  <c r="Z68" i="35"/>
  <c r="Y68" i="35"/>
  <c r="X68" i="35"/>
  <c r="W68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I68" i="35"/>
  <c r="G68" i="35"/>
  <c r="F68" i="35"/>
  <c r="E68" i="35"/>
  <c r="AI67" i="35"/>
  <c r="AH67" i="35"/>
  <c r="AG67" i="35"/>
  <c r="AF67" i="35"/>
  <c r="AE67" i="35"/>
  <c r="AD67" i="35"/>
  <c r="AC67" i="35"/>
  <c r="AB67" i="35"/>
  <c r="AA67" i="35"/>
  <c r="Z67" i="35"/>
  <c r="Y67" i="35"/>
  <c r="X67" i="35"/>
  <c r="W67" i="35"/>
  <c r="V67" i="35"/>
  <c r="U67" i="35"/>
  <c r="T67" i="35"/>
  <c r="S67" i="35"/>
  <c r="R67" i="35"/>
  <c r="Q67" i="35"/>
  <c r="P67" i="35"/>
  <c r="O67" i="35"/>
  <c r="N67" i="35"/>
  <c r="M67" i="35"/>
  <c r="L67" i="35"/>
  <c r="K67" i="35"/>
  <c r="J67" i="35"/>
  <c r="I67" i="35"/>
  <c r="G67" i="35"/>
  <c r="F67" i="35"/>
  <c r="E67" i="35"/>
  <c r="AI66" i="35"/>
  <c r="AH66" i="35"/>
  <c r="AG66" i="35"/>
  <c r="AF66" i="35"/>
  <c r="AE66" i="35"/>
  <c r="AD66" i="35"/>
  <c r="AC66" i="35"/>
  <c r="AB66" i="35"/>
  <c r="AA66" i="35"/>
  <c r="Z66" i="35"/>
  <c r="Y66" i="35"/>
  <c r="X66" i="35"/>
  <c r="W66" i="35"/>
  <c r="V66" i="35"/>
  <c r="U66" i="35"/>
  <c r="T66" i="35"/>
  <c r="S66" i="35"/>
  <c r="R66" i="35"/>
  <c r="Q66" i="35"/>
  <c r="P66" i="35"/>
  <c r="O66" i="35"/>
  <c r="N66" i="35"/>
  <c r="M66" i="35"/>
  <c r="L66" i="35"/>
  <c r="K66" i="35"/>
  <c r="J66" i="35"/>
  <c r="I66" i="35"/>
  <c r="G66" i="35"/>
  <c r="F66" i="35"/>
  <c r="E66" i="35"/>
  <c r="AI65" i="35"/>
  <c r="AH65" i="35"/>
  <c r="AG65" i="35"/>
  <c r="AF65" i="35"/>
  <c r="AE65" i="35"/>
  <c r="AD65" i="35"/>
  <c r="AC65" i="35"/>
  <c r="AB65" i="35"/>
  <c r="AA65" i="35"/>
  <c r="Z65" i="35"/>
  <c r="Y65" i="35"/>
  <c r="X65" i="35"/>
  <c r="W65" i="35"/>
  <c r="V65" i="35"/>
  <c r="U65" i="35"/>
  <c r="T65" i="35"/>
  <c r="S65" i="35"/>
  <c r="R65" i="35"/>
  <c r="Q65" i="35"/>
  <c r="P65" i="35"/>
  <c r="O65" i="35"/>
  <c r="N65" i="35"/>
  <c r="M65" i="35"/>
  <c r="L65" i="35"/>
  <c r="K65" i="35"/>
  <c r="J65" i="35"/>
  <c r="I65" i="35"/>
  <c r="G65" i="35"/>
  <c r="F65" i="35"/>
  <c r="E65" i="35"/>
  <c r="AI64" i="35"/>
  <c r="AH64" i="35"/>
  <c r="AG64" i="35"/>
  <c r="AF64" i="35"/>
  <c r="AE64" i="35"/>
  <c r="AD64" i="35"/>
  <c r="AC64" i="35"/>
  <c r="AB64" i="35"/>
  <c r="AA64" i="35"/>
  <c r="Z64" i="35"/>
  <c r="Y64" i="35"/>
  <c r="X64" i="35"/>
  <c r="W64" i="35"/>
  <c r="V64" i="35"/>
  <c r="U64" i="35"/>
  <c r="T64" i="35"/>
  <c r="S64" i="35"/>
  <c r="R64" i="35"/>
  <c r="Q64" i="35"/>
  <c r="P64" i="35"/>
  <c r="O64" i="35"/>
  <c r="N64" i="35"/>
  <c r="M64" i="35"/>
  <c r="L64" i="35"/>
  <c r="K64" i="35"/>
  <c r="J64" i="35"/>
  <c r="I64" i="35"/>
  <c r="G64" i="35"/>
  <c r="F64" i="35"/>
  <c r="E64" i="35"/>
  <c r="AI63" i="35"/>
  <c r="AH63" i="35"/>
  <c r="AG63" i="35"/>
  <c r="AF63" i="35"/>
  <c r="AE63" i="35"/>
  <c r="AD63" i="35"/>
  <c r="AC63" i="35"/>
  <c r="AB63" i="35"/>
  <c r="AA63" i="35"/>
  <c r="Z63" i="35"/>
  <c r="Y63" i="35"/>
  <c r="X63" i="35"/>
  <c r="W63" i="35"/>
  <c r="V63" i="35"/>
  <c r="U63" i="35"/>
  <c r="T63" i="35"/>
  <c r="S63" i="35"/>
  <c r="R63" i="35"/>
  <c r="Q63" i="35"/>
  <c r="P63" i="35"/>
  <c r="O63" i="35"/>
  <c r="N63" i="35"/>
  <c r="M63" i="35"/>
  <c r="L63" i="35"/>
  <c r="K63" i="35"/>
  <c r="J63" i="35"/>
  <c r="I63" i="35"/>
  <c r="G63" i="35"/>
  <c r="F63" i="35"/>
  <c r="E63" i="35"/>
  <c r="AI62" i="35"/>
  <c r="AH62" i="35"/>
  <c r="AG62" i="35"/>
  <c r="AF62" i="35"/>
  <c r="AE62" i="35"/>
  <c r="AD62" i="35"/>
  <c r="AC62" i="35"/>
  <c r="AB62" i="35"/>
  <c r="AA62" i="35"/>
  <c r="Z62" i="35"/>
  <c r="Y62" i="35"/>
  <c r="X62" i="35"/>
  <c r="W62" i="35"/>
  <c r="V62" i="35"/>
  <c r="U62" i="35"/>
  <c r="T62" i="35"/>
  <c r="S62" i="35"/>
  <c r="R62" i="35"/>
  <c r="Q62" i="35"/>
  <c r="P62" i="35"/>
  <c r="O62" i="35"/>
  <c r="N62" i="35"/>
  <c r="M62" i="35"/>
  <c r="L62" i="35"/>
  <c r="K62" i="35"/>
  <c r="J62" i="35"/>
  <c r="I62" i="35"/>
  <c r="G62" i="35"/>
  <c r="F62" i="35"/>
  <c r="E62" i="35"/>
  <c r="AI61" i="35"/>
  <c r="AH61" i="35"/>
  <c r="AG61" i="35"/>
  <c r="AF61" i="35"/>
  <c r="AE61" i="35"/>
  <c r="AD61" i="35"/>
  <c r="AC61" i="35"/>
  <c r="AB61" i="35"/>
  <c r="AA61" i="35"/>
  <c r="Z61" i="35"/>
  <c r="Y61" i="35"/>
  <c r="X61" i="35"/>
  <c r="W61" i="35"/>
  <c r="V61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I61" i="35"/>
  <c r="G61" i="35"/>
  <c r="F61" i="35"/>
  <c r="E61" i="35"/>
  <c r="AI60" i="35"/>
  <c r="AH60" i="35"/>
  <c r="AG60" i="35"/>
  <c r="AF60" i="35"/>
  <c r="AE60" i="35"/>
  <c r="AD60" i="35"/>
  <c r="AC60" i="35"/>
  <c r="AB60" i="35"/>
  <c r="AA60" i="35"/>
  <c r="Z60" i="35"/>
  <c r="Y60" i="35"/>
  <c r="X60" i="35"/>
  <c r="W60" i="35"/>
  <c r="V60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I60" i="35"/>
  <c r="G60" i="35"/>
  <c r="F60" i="35"/>
  <c r="E60" i="35"/>
  <c r="AI59" i="35"/>
  <c r="AH59" i="35"/>
  <c r="AG59" i="35"/>
  <c r="AF59" i="35"/>
  <c r="AE59" i="35"/>
  <c r="AD59" i="35"/>
  <c r="AC59" i="35"/>
  <c r="AB59" i="35"/>
  <c r="AA59" i="35"/>
  <c r="Z59" i="35"/>
  <c r="Y59" i="35"/>
  <c r="X59" i="35"/>
  <c r="W59" i="35"/>
  <c r="V59" i="35"/>
  <c r="U59" i="35"/>
  <c r="T59" i="35"/>
  <c r="S59" i="35"/>
  <c r="R59" i="35"/>
  <c r="Q59" i="35"/>
  <c r="P59" i="35"/>
  <c r="O59" i="35"/>
  <c r="N59" i="35"/>
  <c r="M59" i="35"/>
  <c r="L59" i="35"/>
  <c r="K59" i="35"/>
  <c r="J59" i="35"/>
  <c r="I59" i="35"/>
  <c r="G59" i="35"/>
  <c r="F59" i="35"/>
  <c r="E59" i="35"/>
  <c r="AI58" i="35"/>
  <c r="AH58" i="35"/>
  <c r="AG58" i="35"/>
  <c r="AF58" i="35"/>
  <c r="AE58" i="35"/>
  <c r="AD58" i="35"/>
  <c r="AC58" i="35"/>
  <c r="AB58" i="35"/>
  <c r="AA58" i="35"/>
  <c r="Z58" i="35"/>
  <c r="Y58" i="35"/>
  <c r="X58" i="35"/>
  <c r="W58" i="35"/>
  <c r="V58" i="35"/>
  <c r="U58" i="35"/>
  <c r="T58" i="35"/>
  <c r="S58" i="35"/>
  <c r="R58" i="35"/>
  <c r="Q58" i="35"/>
  <c r="P58" i="35"/>
  <c r="O58" i="35"/>
  <c r="N58" i="35"/>
  <c r="M58" i="35"/>
  <c r="L58" i="35"/>
  <c r="K58" i="35"/>
  <c r="J58" i="35"/>
  <c r="I58" i="35"/>
  <c r="G58" i="35"/>
  <c r="F58" i="35"/>
  <c r="E58" i="35"/>
  <c r="AI57" i="35"/>
  <c r="AH57" i="35"/>
  <c r="AG57" i="35"/>
  <c r="AF57" i="35"/>
  <c r="AE57" i="35"/>
  <c r="AD57" i="35"/>
  <c r="AC57" i="35"/>
  <c r="AB57" i="35"/>
  <c r="AA57" i="35"/>
  <c r="Z57" i="35"/>
  <c r="Y57" i="35"/>
  <c r="X57" i="35"/>
  <c r="W57" i="35"/>
  <c r="V57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G57" i="35"/>
  <c r="F57" i="35"/>
  <c r="E57" i="35"/>
  <c r="AI56" i="35"/>
  <c r="AH56" i="35"/>
  <c r="AG56" i="35"/>
  <c r="AF56" i="35"/>
  <c r="AE56" i="35"/>
  <c r="AD56" i="35"/>
  <c r="AC56" i="35"/>
  <c r="AB56" i="35"/>
  <c r="AA56" i="35"/>
  <c r="Z56" i="35"/>
  <c r="Y56" i="35"/>
  <c r="X56" i="35"/>
  <c r="W56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G56" i="35"/>
  <c r="F56" i="35"/>
  <c r="E56" i="35"/>
  <c r="AI55" i="35"/>
  <c r="AH55" i="35"/>
  <c r="AG55" i="35"/>
  <c r="AF55" i="35"/>
  <c r="AE55" i="35"/>
  <c r="AD55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O55" i="35"/>
  <c r="N55" i="35"/>
  <c r="M55" i="35"/>
  <c r="L55" i="35"/>
  <c r="K55" i="35"/>
  <c r="J55" i="35"/>
  <c r="I55" i="35"/>
  <c r="G55" i="35"/>
  <c r="F55" i="35"/>
  <c r="E55" i="35"/>
  <c r="AI54" i="35"/>
  <c r="AH54" i="35"/>
  <c r="AG54" i="35"/>
  <c r="AF54" i="35"/>
  <c r="AE54" i="35"/>
  <c r="AD54" i="35"/>
  <c r="AC54" i="35"/>
  <c r="AB54" i="35"/>
  <c r="AA54" i="35"/>
  <c r="Z54" i="35"/>
  <c r="Y54" i="35"/>
  <c r="X54" i="35"/>
  <c r="W54" i="35"/>
  <c r="V54" i="35"/>
  <c r="U54" i="35"/>
  <c r="T54" i="35"/>
  <c r="S54" i="35"/>
  <c r="R54" i="35"/>
  <c r="Q54" i="35"/>
  <c r="P54" i="35"/>
  <c r="O54" i="35"/>
  <c r="N54" i="35"/>
  <c r="M54" i="35"/>
  <c r="L54" i="35"/>
  <c r="K54" i="35"/>
  <c r="J54" i="35"/>
  <c r="I54" i="35"/>
  <c r="G54" i="35"/>
  <c r="F54" i="35"/>
  <c r="E54" i="35"/>
  <c r="AI53" i="35"/>
  <c r="AH53" i="35"/>
  <c r="AG53" i="35"/>
  <c r="AF53" i="35"/>
  <c r="AE53" i="35"/>
  <c r="AD53" i="35"/>
  <c r="AC53" i="35"/>
  <c r="AB53" i="35"/>
  <c r="AA53" i="35"/>
  <c r="Z53" i="35"/>
  <c r="Y53" i="35"/>
  <c r="X53" i="35"/>
  <c r="W53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G53" i="35"/>
  <c r="F53" i="35"/>
  <c r="E53" i="35"/>
  <c r="AI52" i="35"/>
  <c r="AH52" i="35"/>
  <c r="AG52" i="35"/>
  <c r="AF52" i="35"/>
  <c r="AE52" i="35"/>
  <c r="AD52" i="35"/>
  <c r="AC52" i="35"/>
  <c r="AB52" i="35"/>
  <c r="AA52" i="35"/>
  <c r="Z52" i="35"/>
  <c r="Y52" i="35"/>
  <c r="X52" i="35"/>
  <c r="W52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G52" i="35"/>
  <c r="F52" i="35"/>
  <c r="E52" i="35"/>
  <c r="B8" i="35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95" i="35" s="1"/>
  <c r="B96" i="35" s="1"/>
  <c r="B97" i="35" s="1"/>
  <c r="B98" i="35" s="1"/>
  <c r="B99" i="35" s="1"/>
  <c r="B100" i="35" s="1"/>
  <c r="B101" i="35" s="1"/>
  <c r="B102" i="35" s="1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19" i="35" s="1"/>
  <c r="B120" i="35" s="1"/>
  <c r="B121" i="35" s="1"/>
  <c r="B122" i="35" s="1"/>
  <c r="B123" i="35" s="1"/>
  <c r="B124" i="35" s="1"/>
  <c r="B125" i="35" s="1"/>
  <c r="B126" i="35" s="1"/>
  <c r="B127" i="35" s="1"/>
  <c r="B128" i="35" s="1"/>
  <c r="B129" i="35" s="1"/>
  <c r="B130" i="35" s="1"/>
  <c r="B131" i="35" s="1"/>
  <c r="B132" i="35" s="1"/>
  <c r="B133" i="35" s="1"/>
  <c r="B134" i="35" s="1"/>
  <c r="B135" i="35" s="1"/>
  <c r="B136" i="35" s="1"/>
  <c r="B137" i="35" s="1"/>
  <c r="B138" i="35" s="1"/>
  <c r="B139" i="35" s="1"/>
  <c r="B140" i="35" s="1"/>
  <c r="B141" i="35" s="1"/>
  <c r="B142" i="35" s="1"/>
  <c r="B143" i="35" s="1"/>
  <c r="B144" i="35" s="1"/>
  <c r="B145" i="35" s="1"/>
  <c r="B146" i="35" s="1"/>
  <c r="B147" i="35" s="1"/>
  <c r="B148" i="35" s="1"/>
  <c r="B149" i="35" s="1"/>
  <c r="B150" i="35" s="1"/>
  <c r="B151" i="35" s="1"/>
  <c r="B152" i="35" s="1"/>
  <c r="B153" i="35" s="1"/>
  <c r="B154" i="35" s="1"/>
  <c r="B155" i="35" s="1"/>
  <c r="B156" i="35" s="1"/>
  <c r="B157" i="35" s="1"/>
  <c r="B158" i="35" s="1"/>
  <c r="B159" i="35" s="1"/>
  <c r="B160" i="35" s="1"/>
  <c r="B161" i="35" s="1"/>
  <c r="B162" i="35" s="1"/>
  <c r="B163" i="35" s="1"/>
  <c r="B164" i="35" s="1"/>
  <c r="B165" i="35" s="1"/>
  <c r="B166" i="35" s="1"/>
  <c r="B167" i="35" s="1"/>
  <c r="B168" i="35" s="1"/>
  <c r="B169" i="35" s="1"/>
  <c r="B170" i="35" s="1"/>
  <c r="B171" i="35" s="1"/>
  <c r="B172" i="35" s="1"/>
  <c r="B173" i="35" s="1"/>
  <c r="B174" i="35" s="1"/>
  <c r="B175" i="35" s="1"/>
  <c r="B176" i="35" s="1"/>
  <c r="B177" i="35" s="1"/>
  <c r="B178" i="35" s="1"/>
  <c r="B179" i="35" s="1"/>
  <c r="B180" i="35" s="1"/>
  <c r="B181" i="35" s="1"/>
  <c r="B182" i="35" s="1"/>
  <c r="B183" i="35" s="1"/>
  <c r="B184" i="35" s="1"/>
  <c r="B185" i="35" s="1"/>
  <c r="B186" i="35" s="1"/>
  <c r="B187" i="35" s="1"/>
  <c r="B188" i="35" s="1"/>
  <c r="B189" i="35" s="1"/>
  <c r="B190" i="35" s="1"/>
  <c r="B191" i="35" s="1"/>
  <c r="B192" i="35" s="1"/>
  <c r="B193" i="35" s="1"/>
  <c r="B194" i="35" s="1"/>
  <c r="B195" i="35" s="1"/>
  <c r="B196" i="35" s="1"/>
  <c r="B197" i="35" s="1"/>
  <c r="B198" i="35" s="1"/>
  <c r="B199" i="35" s="1"/>
  <c r="B200" i="35" s="1"/>
  <c r="B201" i="35" s="1"/>
  <c r="B202" i="35" s="1"/>
  <c r="B203" i="35" s="1"/>
  <c r="B204" i="35" s="1"/>
  <c r="AI204" i="35"/>
  <c r="AH204" i="35"/>
  <c r="AG204" i="35"/>
  <c r="AF204" i="35"/>
  <c r="AE204" i="35"/>
  <c r="AD204" i="35"/>
  <c r="AC204" i="35"/>
  <c r="AB204" i="35"/>
  <c r="AA204" i="35"/>
  <c r="Z204" i="35"/>
  <c r="Y204" i="35"/>
  <c r="X204" i="35"/>
  <c r="W204" i="35"/>
  <c r="V204" i="35"/>
  <c r="U204" i="35"/>
  <c r="T204" i="35"/>
  <c r="S204" i="35"/>
  <c r="R204" i="35"/>
  <c r="Q204" i="35"/>
  <c r="P204" i="35"/>
  <c r="O204" i="35"/>
  <c r="N204" i="35"/>
  <c r="M204" i="35"/>
  <c r="L204" i="35"/>
  <c r="K204" i="35"/>
  <c r="J204" i="35"/>
  <c r="I204" i="35"/>
  <c r="G204" i="35"/>
  <c r="F204" i="35"/>
  <c r="E204" i="35"/>
  <c r="AI203" i="35"/>
  <c r="AH203" i="35"/>
  <c r="AG203" i="35"/>
  <c r="AF203" i="35"/>
  <c r="AE203" i="35"/>
  <c r="AD203" i="35"/>
  <c r="AC203" i="35"/>
  <c r="AB203" i="35"/>
  <c r="AA203" i="35"/>
  <c r="Z203" i="35"/>
  <c r="Y203" i="35"/>
  <c r="X203" i="35"/>
  <c r="W203" i="35"/>
  <c r="V203" i="35"/>
  <c r="U203" i="35"/>
  <c r="T203" i="35"/>
  <c r="S203" i="35"/>
  <c r="R203" i="35"/>
  <c r="Q203" i="35"/>
  <c r="P203" i="35"/>
  <c r="O203" i="35"/>
  <c r="N203" i="35"/>
  <c r="M203" i="35"/>
  <c r="L203" i="35"/>
  <c r="K203" i="35"/>
  <c r="J203" i="35"/>
  <c r="I203" i="35"/>
  <c r="H203" i="35"/>
  <c r="G203" i="35"/>
  <c r="F203" i="35"/>
  <c r="E203" i="35"/>
  <c r="AI202" i="35"/>
  <c r="AH202" i="35"/>
  <c r="AG202" i="35"/>
  <c r="AF202" i="35"/>
  <c r="AE202" i="35"/>
  <c r="AD202" i="35"/>
  <c r="AC202" i="35"/>
  <c r="AB202" i="35"/>
  <c r="AA202" i="35"/>
  <c r="Z202" i="35"/>
  <c r="Y202" i="35"/>
  <c r="X202" i="35"/>
  <c r="W202" i="35"/>
  <c r="V202" i="35"/>
  <c r="U202" i="35"/>
  <c r="T202" i="35"/>
  <c r="S202" i="35"/>
  <c r="R202" i="35"/>
  <c r="Q202" i="35"/>
  <c r="P202" i="35"/>
  <c r="O202" i="35"/>
  <c r="N202" i="35"/>
  <c r="M202" i="35"/>
  <c r="L202" i="35"/>
  <c r="K202" i="35"/>
  <c r="J202" i="35"/>
  <c r="I202" i="35"/>
  <c r="G202" i="35"/>
  <c r="F202" i="35"/>
  <c r="E202" i="35"/>
  <c r="AI201" i="35"/>
  <c r="AH201" i="35"/>
  <c r="AG201" i="35"/>
  <c r="AF201" i="35"/>
  <c r="AE201" i="35"/>
  <c r="AD201" i="35"/>
  <c r="AC201" i="35"/>
  <c r="AB201" i="35"/>
  <c r="AA201" i="35"/>
  <c r="Z201" i="35"/>
  <c r="Y201" i="35"/>
  <c r="X201" i="35"/>
  <c r="W201" i="35"/>
  <c r="V201" i="35"/>
  <c r="U201" i="35"/>
  <c r="T201" i="35"/>
  <c r="S201" i="35"/>
  <c r="R201" i="35"/>
  <c r="Q201" i="35"/>
  <c r="P201" i="35"/>
  <c r="O201" i="35"/>
  <c r="N201" i="35"/>
  <c r="M201" i="35"/>
  <c r="L201" i="35"/>
  <c r="K201" i="35"/>
  <c r="J201" i="35"/>
  <c r="I201" i="35"/>
  <c r="G201" i="35"/>
  <c r="F201" i="35"/>
  <c r="E201" i="35"/>
  <c r="AI200" i="35"/>
  <c r="AH200" i="35"/>
  <c r="AG200" i="35"/>
  <c r="AF200" i="35"/>
  <c r="AE200" i="35"/>
  <c r="AD200" i="35"/>
  <c r="AC200" i="35"/>
  <c r="AB200" i="35"/>
  <c r="AA200" i="35"/>
  <c r="Z200" i="35"/>
  <c r="Y200" i="35"/>
  <c r="X200" i="35"/>
  <c r="W200" i="35"/>
  <c r="V200" i="35"/>
  <c r="U200" i="35"/>
  <c r="T200" i="35"/>
  <c r="S200" i="35"/>
  <c r="R200" i="35"/>
  <c r="Q200" i="35"/>
  <c r="P200" i="35"/>
  <c r="O200" i="35"/>
  <c r="N200" i="35"/>
  <c r="M200" i="35"/>
  <c r="L200" i="35"/>
  <c r="K200" i="35"/>
  <c r="J200" i="35"/>
  <c r="I200" i="35"/>
  <c r="G200" i="35"/>
  <c r="F200" i="35"/>
  <c r="E200" i="35"/>
  <c r="AI199" i="35"/>
  <c r="AH199" i="35"/>
  <c r="AG199" i="35"/>
  <c r="AF199" i="35"/>
  <c r="AE199" i="35"/>
  <c r="AD199" i="35"/>
  <c r="AC199" i="35"/>
  <c r="AB199" i="35"/>
  <c r="AA199" i="35"/>
  <c r="Z199" i="35"/>
  <c r="Y199" i="35"/>
  <c r="X199" i="35"/>
  <c r="W199" i="35"/>
  <c r="V199" i="35"/>
  <c r="U199" i="35"/>
  <c r="T199" i="35"/>
  <c r="S199" i="35"/>
  <c r="R199" i="35"/>
  <c r="Q199" i="35"/>
  <c r="P199" i="35"/>
  <c r="O199" i="35"/>
  <c r="N199" i="35"/>
  <c r="M199" i="35"/>
  <c r="L199" i="35"/>
  <c r="K199" i="35"/>
  <c r="J199" i="35"/>
  <c r="I199" i="35"/>
  <c r="G199" i="35"/>
  <c r="F199" i="35"/>
  <c r="E199" i="35"/>
  <c r="AI198" i="35"/>
  <c r="AH198" i="35"/>
  <c r="AG198" i="35"/>
  <c r="AF198" i="35"/>
  <c r="AE198" i="35"/>
  <c r="AD198" i="35"/>
  <c r="AC198" i="35"/>
  <c r="AB198" i="35"/>
  <c r="AA198" i="35"/>
  <c r="Z198" i="35"/>
  <c r="Y198" i="35"/>
  <c r="X198" i="35"/>
  <c r="W198" i="35"/>
  <c r="V198" i="35"/>
  <c r="U198" i="35"/>
  <c r="T198" i="35"/>
  <c r="S198" i="35"/>
  <c r="R198" i="35"/>
  <c r="Q198" i="35"/>
  <c r="P198" i="35"/>
  <c r="O198" i="35"/>
  <c r="N198" i="35"/>
  <c r="M198" i="35"/>
  <c r="L198" i="35"/>
  <c r="K198" i="35"/>
  <c r="J198" i="35"/>
  <c r="I198" i="35"/>
  <c r="G198" i="35"/>
  <c r="F198" i="35"/>
  <c r="E198" i="35"/>
  <c r="AI197" i="35"/>
  <c r="AH197" i="35"/>
  <c r="AG197" i="35"/>
  <c r="AF197" i="35"/>
  <c r="AE197" i="35"/>
  <c r="AD197" i="35"/>
  <c r="AC197" i="35"/>
  <c r="AB197" i="35"/>
  <c r="AA197" i="35"/>
  <c r="Z197" i="35"/>
  <c r="Y197" i="35"/>
  <c r="X197" i="35"/>
  <c r="W197" i="35"/>
  <c r="V197" i="35"/>
  <c r="U197" i="35"/>
  <c r="T197" i="35"/>
  <c r="S197" i="35"/>
  <c r="R197" i="35"/>
  <c r="Q197" i="35"/>
  <c r="P197" i="35"/>
  <c r="O197" i="35"/>
  <c r="N197" i="35"/>
  <c r="M197" i="35"/>
  <c r="L197" i="35"/>
  <c r="K197" i="35"/>
  <c r="J197" i="35"/>
  <c r="I197" i="35"/>
  <c r="G197" i="35"/>
  <c r="F197" i="35"/>
  <c r="E197" i="35"/>
  <c r="AI196" i="35"/>
  <c r="AH196" i="35"/>
  <c r="AG196" i="35"/>
  <c r="AF196" i="35"/>
  <c r="AE196" i="35"/>
  <c r="AD196" i="35"/>
  <c r="AC196" i="35"/>
  <c r="AB196" i="35"/>
  <c r="AA196" i="35"/>
  <c r="Z196" i="35"/>
  <c r="Y196" i="35"/>
  <c r="X196" i="35"/>
  <c r="W196" i="35"/>
  <c r="V196" i="35"/>
  <c r="U196" i="35"/>
  <c r="T196" i="35"/>
  <c r="S196" i="35"/>
  <c r="R196" i="35"/>
  <c r="Q196" i="35"/>
  <c r="P196" i="35"/>
  <c r="O196" i="35"/>
  <c r="N196" i="35"/>
  <c r="M196" i="35"/>
  <c r="L196" i="35"/>
  <c r="K196" i="35"/>
  <c r="J196" i="35"/>
  <c r="I196" i="35"/>
  <c r="G196" i="35"/>
  <c r="F196" i="35"/>
  <c r="E196" i="35"/>
  <c r="AI195" i="35"/>
  <c r="AH195" i="35"/>
  <c r="AG195" i="35"/>
  <c r="AF195" i="35"/>
  <c r="AE195" i="35"/>
  <c r="AD195" i="35"/>
  <c r="AC195" i="35"/>
  <c r="AB195" i="35"/>
  <c r="AA195" i="35"/>
  <c r="Z195" i="35"/>
  <c r="Y195" i="35"/>
  <c r="X195" i="35"/>
  <c r="W195" i="35"/>
  <c r="V195" i="35"/>
  <c r="U195" i="35"/>
  <c r="T195" i="35"/>
  <c r="S195" i="35"/>
  <c r="R195" i="35"/>
  <c r="Q195" i="35"/>
  <c r="P195" i="35"/>
  <c r="O195" i="35"/>
  <c r="N195" i="35"/>
  <c r="M195" i="35"/>
  <c r="L195" i="35"/>
  <c r="K195" i="35"/>
  <c r="J195" i="35"/>
  <c r="I195" i="35"/>
  <c r="G195" i="35"/>
  <c r="F195" i="35"/>
  <c r="E195" i="35"/>
  <c r="AI194" i="35"/>
  <c r="AH194" i="35"/>
  <c r="AG194" i="35"/>
  <c r="AF194" i="35"/>
  <c r="AE194" i="35"/>
  <c r="AD194" i="35"/>
  <c r="AC194" i="35"/>
  <c r="AB194" i="35"/>
  <c r="AA194" i="35"/>
  <c r="Z194" i="35"/>
  <c r="Y194" i="35"/>
  <c r="X194" i="35"/>
  <c r="W194" i="35"/>
  <c r="V194" i="35"/>
  <c r="U194" i="35"/>
  <c r="T194" i="35"/>
  <c r="S194" i="35"/>
  <c r="R194" i="35"/>
  <c r="Q194" i="35"/>
  <c r="P194" i="35"/>
  <c r="O194" i="35"/>
  <c r="N194" i="35"/>
  <c r="M194" i="35"/>
  <c r="L194" i="35"/>
  <c r="K194" i="35"/>
  <c r="J194" i="35"/>
  <c r="I194" i="35"/>
  <c r="G194" i="35"/>
  <c r="F194" i="35"/>
  <c r="E194" i="35"/>
  <c r="AI193" i="35"/>
  <c r="AH193" i="35"/>
  <c r="AG193" i="35"/>
  <c r="AF193" i="35"/>
  <c r="AE193" i="35"/>
  <c r="AD193" i="35"/>
  <c r="AC193" i="35"/>
  <c r="AB193" i="35"/>
  <c r="AA193" i="35"/>
  <c r="Z193" i="35"/>
  <c r="Y193" i="35"/>
  <c r="X193" i="35"/>
  <c r="W193" i="35"/>
  <c r="V193" i="35"/>
  <c r="U193" i="35"/>
  <c r="T193" i="35"/>
  <c r="S193" i="35"/>
  <c r="R193" i="35"/>
  <c r="Q193" i="35"/>
  <c r="P193" i="35"/>
  <c r="O193" i="35"/>
  <c r="N193" i="35"/>
  <c r="M193" i="35"/>
  <c r="L193" i="35"/>
  <c r="K193" i="35"/>
  <c r="J193" i="35"/>
  <c r="I193" i="35"/>
  <c r="G193" i="35"/>
  <c r="F193" i="35"/>
  <c r="E193" i="35"/>
  <c r="AI192" i="35"/>
  <c r="AH192" i="35"/>
  <c r="AG192" i="35"/>
  <c r="AF192" i="35"/>
  <c r="AE192" i="35"/>
  <c r="AD192" i="35"/>
  <c r="AC192" i="35"/>
  <c r="AB192" i="35"/>
  <c r="AA192" i="35"/>
  <c r="Z192" i="35"/>
  <c r="Y192" i="35"/>
  <c r="X192" i="35"/>
  <c r="W192" i="35"/>
  <c r="V192" i="35"/>
  <c r="U192" i="35"/>
  <c r="T192" i="35"/>
  <c r="S192" i="35"/>
  <c r="R192" i="35"/>
  <c r="Q192" i="35"/>
  <c r="P192" i="35"/>
  <c r="O192" i="35"/>
  <c r="N192" i="35"/>
  <c r="M192" i="35"/>
  <c r="L192" i="35"/>
  <c r="K192" i="35"/>
  <c r="J192" i="35"/>
  <c r="I192" i="35"/>
  <c r="G192" i="35"/>
  <c r="F192" i="35"/>
  <c r="E192" i="35"/>
  <c r="AI191" i="35"/>
  <c r="AH191" i="35"/>
  <c r="AG191" i="35"/>
  <c r="AF191" i="35"/>
  <c r="AE191" i="35"/>
  <c r="AD191" i="35"/>
  <c r="AC191" i="35"/>
  <c r="AB191" i="35"/>
  <c r="AA191" i="35"/>
  <c r="Z191" i="35"/>
  <c r="Y191" i="35"/>
  <c r="X191" i="35"/>
  <c r="W191" i="35"/>
  <c r="V191" i="35"/>
  <c r="U191" i="35"/>
  <c r="T191" i="35"/>
  <c r="S191" i="35"/>
  <c r="R191" i="35"/>
  <c r="Q191" i="35"/>
  <c r="P191" i="35"/>
  <c r="O191" i="35"/>
  <c r="N191" i="35"/>
  <c r="M191" i="35"/>
  <c r="L191" i="35"/>
  <c r="K191" i="35"/>
  <c r="J191" i="35"/>
  <c r="I191" i="35"/>
  <c r="H191" i="35"/>
  <c r="G191" i="35"/>
  <c r="F191" i="35"/>
  <c r="E191" i="35"/>
  <c r="AI190" i="35"/>
  <c r="AH190" i="35"/>
  <c r="AG190" i="35"/>
  <c r="AF190" i="35"/>
  <c r="AE190" i="35"/>
  <c r="AD190" i="35"/>
  <c r="AC190" i="35"/>
  <c r="AB190" i="35"/>
  <c r="AA190" i="35"/>
  <c r="Z190" i="35"/>
  <c r="Y190" i="35"/>
  <c r="X190" i="35"/>
  <c r="W190" i="35"/>
  <c r="V190" i="35"/>
  <c r="U190" i="35"/>
  <c r="T190" i="35"/>
  <c r="S190" i="35"/>
  <c r="R190" i="35"/>
  <c r="Q190" i="35"/>
  <c r="P190" i="35"/>
  <c r="O190" i="35"/>
  <c r="N190" i="35"/>
  <c r="M190" i="35"/>
  <c r="L190" i="35"/>
  <c r="K190" i="35"/>
  <c r="J190" i="35"/>
  <c r="I190" i="35"/>
  <c r="G190" i="35"/>
  <c r="F190" i="35"/>
  <c r="E190" i="35"/>
  <c r="AI189" i="35"/>
  <c r="AH189" i="35"/>
  <c r="AG189" i="35"/>
  <c r="AF189" i="35"/>
  <c r="AE189" i="35"/>
  <c r="AD189" i="35"/>
  <c r="AC189" i="35"/>
  <c r="AB189" i="35"/>
  <c r="AA189" i="35"/>
  <c r="Z189" i="35"/>
  <c r="Y189" i="35"/>
  <c r="X189" i="35"/>
  <c r="W189" i="35"/>
  <c r="V189" i="35"/>
  <c r="U189" i="35"/>
  <c r="T189" i="35"/>
  <c r="S189" i="35"/>
  <c r="R189" i="35"/>
  <c r="Q189" i="35"/>
  <c r="P189" i="35"/>
  <c r="O189" i="35"/>
  <c r="N189" i="35"/>
  <c r="M189" i="35"/>
  <c r="L189" i="35"/>
  <c r="K189" i="35"/>
  <c r="J189" i="35"/>
  <c r="I189" i="35"/>
  <c r="G189" i="35"/>
  <c r="F189" i="35"/>
  <c r="E189" i="35"/>
  <c r="AI188" i="35"/>
  <c r="AH188" i="35"/>
  <c r="AG188" i="35"/>
  <c r="AF188" i="35"/>
  <c r="AE188" i="35"/>
  <c r="AD188" i="35"/>
  <c r="AC188" i="35"/>
  <c r="AB188" i="35"/>
  <c r="AA188" i="35"/>
  <c r="Z188" i="35"/>
  <c r="Y188" i="35"/>
  <c r="X188" i="35"/>
  <c r="W188" i="35"/>
  <c r="V188" i="35"/>
  <c r="U188" i="35"/>
  <c r="T188" i="35"/>
  <c r="S188" i="35"/>
  <c r="R188" i="35"/>
  <c r="Q188" i="35"/>
  <c r="P188" i="35"/>
  <c r="O188" i="35"/>
  <c r="N188" i="35"/>
  <c r="M188" i="35"/>
  <c r="L188" i="35"/>
  <c r="K188" i="35"/>
  <c r="J188" i="35"/>
  <c r="I188" i="35"/>
  <c r="G188" i="35"/>
  <c r="F188" i="35"/>
  <c r="E188" i="35"/>
  <c r="AI187" i="35"/>
  <c r="AH187" i="35"/>
  <c r="AG187" i="35"/>
  <c r="AF187" i="35"/>
  <c r="AE187" i="35"/>
  <c r="AD187" i="35"/>
  <c r="AC187" i="35"/>
  <c r="AB187" i="35"/>
  <c r="AA187" i="35"/>
  <c r="Z187" i="35"/>
  <c r="Y187" i="35"/>
  <c r="X187" i="35"/>
  <c r="W187" i="35"/>
  <c r="V187" i="35"/>
  <c r="U187" i="35"/>
  <c r="T187" i="35"/>
  <c r="S187" i="35"/>
  <c r="R187" i="35"/>
  <c r="Q187" i="35"/>
  <c r="P187" i="35"/>
  <c r="O187" i="35"/>
  <c r="N187" i="35"/>
  <c r="M187" i="35"/>
  <c r="L187" i="35"/>
  <c r="K187" i="35"/>
  <c r="J187" i="35"/>
  <c r="I187" i="35"/>
  <c r="G187" i="35"/>
  <c r="F187" i="35"/>
  <c r="E187" i="35"/>
  <c r="AI186" i="35"/>
  <c r="AH186" i="35"/>
  <c r="AG186" i="35"/>
  <c r="AF186" i="35"/>
  <c r="AE186" i="35"/>
  <c r="AD186" i="35"/>
  <c r="AC186" i="35"/>
  <c r="AB186" i="35"/>
  <c r="AA186" i="35"/>
  <c r="Z186" i="35"/>
  <c r="Y186" i="35"/>
  <c r="X186" i="35"/>
  <c r="W186" i="35"/>
  <c r="V186" i="35"/>
  <c r="U186" i="35"/>
  <c r="T186" i="35"/>
  <c r="S186" i="35"/>
  <c r="R186" i="35"/>
  <c r="Q186" i="35"/>
  <c r="P186" i="35"/>
  <c r="O186" i="35"/>
  <c r="N186" i="35"/>
  <c r="M186" i="35"/>
  <c r="L186" i="35"/>
  <c r="K186" i="35"/>
  <c r="J186" i="35"/>
  <c r="I186" i="35"/>
  <c r="G186" i="35"/>
  <c r="F186" i="35"/>
  <c r="E186" i="35"/>
  <c r="AI185" i="35"/>
  <c r="AH185" i="35"/>
  <c r="AG185" i="35"/>
  <c r="AF185" i="35"/>
  <c r="AE185" i="35"/>
  <c r="AD185" i="35"/>
  <c r="AC185" i="35"/>
  <c r="AB185" i="35"/>
  <c r="AA185" i="35"/>
  <c r="Z185" i="35"/>
  <c r="Y185" i="35"/>
  <c r="X185" i="35"/>
  <c r="W185" i="35"/>
  <c r="V185" i="35"/>
  <c r="U185" i="35"/>
  <c r="T185" i="35"/>
  <c r="S185" i="35"/>
  <c r="R185" i="35"/>
  <c r="Q185" i="35"/>
  <c r="P185" i="35"/>
  <c r="O185" i="35"/>
  <c r="N185" i="35"/>
  <c r="M185" i="35"/>
  <c r="L185" i="35"/>
  <c r="K185" i="35"/>
  <c r="J185" i="35"/>
  <c r="I185" i="35"/>
  <c r="G185" i="35"/>
  <c r="F185" i="35"/>
  <c r="E185" i="35"/>
  <c r="AI184" i="35"/>
  <c r="AH184" i="35"/>
  <c r="AG184" i="35"/>
  <c r="AF184" i="35"/>
  <c r="AE184" i="35"/>
  <c r="AD184" i="35"/>
  <c r="AC184" i="35"/>
  <c r="AB184" i="35"/>
  <c r="AA184" i="35"/>
  <c r="Z184" i="35"/>
  <c r="Y184" i="35"/>
  <c r="X184" i="35"/>
  <c r="W184" i="35"/>
  <c r="V184" i="35"/>
  <c r="U184" i="35"/>
  <c r="T184" i="35"/>
  <c r="S184" i="35"/>
  <c r="R184" i="35"/>
  <c r="Q184" i="35"/>
  <c r="P184" i="35"/>
  <c r="O184" i="35"/>
  <c r="N184" i="35"/>
  <c r="M184" i="35"/>
  <c r="L184" i="35"/>
  <c r="K184" i="35"/>
  <c r="J184" i="35"/>
  <c r="I184" i="35"/>
  <c r="G184" i="35"/>
  <c r="F184" i="35"/>
  <c r="E184" i="35"/>
  <c r="AI183" i="35"/>
  <c r="AH183" i="35"/>
  <c r="AG183" i="35"/>
  <c r="AF183" i="35"/>
  <c r="AE183" i="35"/>
  <c r="AD183" i="35"/>
  <c r="AC183" i="35"/>
  <c r="AB183" i="35"/>
  <c r="AA183" i="35"/>
  <c r="Z183" i="35"/>
  <c r="Y183" i="35"/>
  <c r="X183" i="35"/>
  <c r="W183" i="35"/>
  <c r="V183" i="35"/>
  <c r="U183" i="35"/>
  <c r="T183" i="35"/>
  <c r="S183" i="35"/>
  <c r="R183" i="35"/>
  <c r="Q183" i="35"/>
  <c r="P183" i="35"/>
  <c r="O183" i="35"/>
  <c r="N183" i="35"/>
  <c r="M183" i="35"/>
  <c r="L183" i="35"/>
  <c r="K183" i="35"/>
  <c r="J183" i="35"/>
  <c r="I183" i="35"/>
  <c r="G183" i="35"/>
  <c r="F183" i="35"/>
  <c r="E183" i="35"/>
  <c r="AI182" i="35"/>
  <c r="AH182" i="35"/>
  <c r="AG182" i="35"/>
  <c r="AF182" i="35"/>
  <c r="AE182" i="35"/>
  <c r="AD182" i="35"/>
  <c r="AC182" i="35"/>
  <c r="AB182" i="35"/>
  <c r="AA182" i="35"/>
  <c r="Z182" i="35"/>
  <c r="Y182" i="35"/>
  <c r="X182" i="35"/>
  <c r="W182" i="35"/>
  <c r="V182" i="35"/>
  <c r="U182" i="35"/>
  <c r="T182" i="35"/>
  <c r="S182" i="35"/>
  <c r="R182" i="35"/>
  <c r="Q182" i="35"/>
  <c r="P182" i="35"/>
  <c r="O182" i="35"/>
  <c r="N182" i="35"/>
  <c r="M182" i="35"/>
  <c r="L182" i="35"/>
  <c r="K182" i="35"/>
  <c r="J182" i="35"/>
  <c r="I182" i="35"/>
  <c r="G182" i="35"/>
  <c r="F182" i="35"/>
  <c r="E182" i="35"/>
  <c r="AI181" i="35"/>
  <c r="AH181" i="35"/>
  <c r="AG181" i="35"/>
  <c r="AF181" i="35"/>
  <c r="AE181" i="35"/>
  <c r="AD181" i="35"/>
  <c r="AC181" i="35"/>
  <c r="AB181" i="35"/>
  <c r="AA181" i="35"/>
  <c r="Z181" i="35"/>
  <c r="Y181" i="35"/>
  <c r="X181" i="35"/>
  <c r="W181" i="35"/>
  <c r="V181" i="35"/>
  <c r="U181" i="35"/>
  <c r="T181" i="35"/>
  <c r="S181" i="35"/>
  <c r="R181" i="35"/>
  <c r="Q181" i="35"/>
  <c r="P181" i="35"/>
  <c r="O181" i="35"/>
  <c r="N181" i="35"/>
  <c r="M181" i="35"/>
  <c r="L181" i="35"/>
  <c r="K181" i="35"/>
  <c r="J181" i="35"/>
  <c r="I181" i="35"/>
  <c r="G181" i="35"/>
  <c r="F181" i="35"/>
  <c r="E181" i="35"/>
  <c r="AI180" i="35"/>
  <c r="AH180" i="35"/>
  <c r="AG180" i="35"/>
  <c r="AF180" i="35"/>
  <c r="AE180" i="35"/>
  <c r="AD180" i="35"/>
  <c r="AC180" i="35"/>
  <c r="AB180" i="35"/>
  <c r="AA180" i="35"/>
  <c r="Z180" i="35"/>
  <c r="Y180" i="35"/>
  <c r="X180" i="35"/>
  <c r="W180" i="35"/>
  <c r="V180" i="35"/>
  <c r="U180" i="35"/>
  <c r="T180" i="35"/>
  <c r="S180" i="35"/>
  <c r="R180" i="35"/>
  <c r="Q180" i="35"/>
  <c r="P180" i="35"/>
  <c r="O180" i="35"/>
  <c r="N180" i="35"/>
  <c r="M180" i="35"/>
  <c r="L180" i="35"/>
  <c r="K180" i="35"/>
  <c r="J180" i="35"/>
  <c r="I180" i="35"/>
  <c r="G180" i="35"/>
  <c r="F180" i="35"/>
  <c r="E180" i="35"/>
  <c r="AI179" i="35"/>
  <c r="AH179" i="35"/>
  <c r="AG179" i="35"/>
  <c r="AF179" i="35"/>
  <c r="AE179" i="35"/>
  <c r="AD179" i="35"/>
  <c r="AC179" i="35"/>
  <c r="AB179" i="35"/>
  <c r="AA179" i="35"/>
  <c r="Z179" i="35"/>
  <c r="Y179" i="35"/>
  <c r="X179" i="35"/>
  <c r="W179" i="35"/>
  <c r="V179" i="35"/>
  <c r="U179" i="35"/>
  <c r="T179" i="35"/>
  <c r="S179" i="35"/>
  <c r="R179" i="35"/>
  <c r="Q179" i="35"/>
  <c r="P179" i="35"/>
  <c r="O179" i="35"/>
  <c r="N179" i="35"/>
  <c r="M179" i="35"/>
  <c r="L179" i="35"/>
  <c r="K179" i="35"/>
  <c r="J179" i="35"/>
  <c r="I179" i="35"/>
  <c r="H179" i="35"/>
  <c r="G179" i="35"/>
  <c r="F179" i="35"/>
  <c r="E179" i="35"/>
  <c r="AI178" i="35"/>
  <c r="AH178" i="35"/>
  <c r="AG178" i="35"/>
  <c r="AF178" i="35"/>
  <c r="AE178" i="35"/>
  <c r="AD178" i="35"/>
  <c r="AC178" i="35"/>
  <c r="AB178" i="35"/>
  <c r="AA178" i="35"/>
  <c r="Z178" i="35"/>
  <c r="Y178" i="35"/>
  <c r="X178" i="35"/>
  <c r="W178" i="35"/>
  <c r="V178" i="35"/>
  <c r="U178" i="35"/>
  <c r="T178" i="35"/>
  <c r="S178" i="35"/>
  <c r="R178" i="35"/>
  <c r="Q178" i="35"/>
  <c r="P178" i="35"/>
  <c r="O178" i="35"/>
  <c r="N178" i="35"/>
  <c r="M178" i="35"/>
  <c r="L178" i="35"/>
  <c r="K178" i="35"/>
  <c r="J178" i="35"/>
  <c r="I178" i="35"/>
  <c r="G178" i="35"/>
  <c r="F178" i="35"/>
  <c r="E178" i="35"/>
  <c r="AI177" i="35"/>
  <c r="AH177" i="35"/>
  <c r="AG177" i="35"/>
  <c r="AF177" i="35"/>
  <c r="AE177" i="35"/>
  <c r="AD177" i="35"/>
  <c r="AC177" i="35"/>
  <c r="AB177" i="35"/>
  <c r="AA177" i="35"/>
  <c r="Z177" i="35"/>
  <c r="Y177" i="35"/>
  <c r="X177" i="35"/>
  <c r="W177" i="35"/>
  <c r="V177" i="35"/>
  <c r="U177" i="35"/>
  <c r="T177" i="35"/>
  <c r="S177" i="35"/>
  <c r="R177" i="35"/>
  <c r="Q177" i="35"/>
  <c r="P177" i="35"/>
  <c r="O177" i="35"/>
  <c r="N177" i="35"/>
  <c r="M177" i="35"/>
  <c r="L177" i="35"/>
  <c r="K177" i="35"/>
  <c r="J177" i="35"/>
  <c r="I177" i="35"/>
  <c r="G177" i="35"/>
  <c r="F177" i="35"/>
  <c r="E177" i="35"/>
  <c r="AI176" i="35"/>
  <c r="AH176" i="35"/>
  <c r="AG176" i="35"/>
  <c r="AF176" i="35"/>
  <c r="AE176" i="35"/>
  <c r="AD176" i="35"/>
  <c r="AC176" i="35"/>
  <c r="AB176" i="35"/>
  <c r="AA176" i="35"/>
  <c r="Z176" i="35"/>
  <c r="Y176" i="35"/>
  <c r="X176" i="35"/>
  <c r="W176" i="35"/>
  <c r="V176" i="35"/>
  <c r="U176" i="35"/>
  <c r="T176" i="35"/>
  <c r="S176" i="35"/>
  <c r="R176" i="35"/>
  <c r="Q176" i="35"/>
  <c r="P176" i="35"/>
  <c r="O176" i="35"/>
  <c r="N176" i="35"/>
  <c r="M176" i="35"/>
  <c r="L176" i="35"/>
  <c r="K176" i="35"/>
  <c r="J176" i="35"/>
  <c r="I176" i="35"/>
  <c r="G176" i="35"/>
  <c r="F176" i="35"/>
  <c r="E176" i="35"/>
  <c r="AI175" i="35"/>
  <c r="AH175" i="35"/>
  <c r="AG175" i="35"/>
  <c r="AF175" i="35"/>
  <c r="AE175" i="35"/>
  <c r="AD175" i="35"/>
  <c r="AC175" i="35"/>
  <c r="AB175" i="35"/>
  <c r="AA175" i="35"/>
  <c r="Z175" i="35"/>
  <c r="Y175" i="35"/>
  <c r="X175" i="35"/>
  <c r="W175" i="35"/>
  <c r="V175" i="35"/>
  <c r="U175" i="35"/>
  <c r="T175" i="35"/>
  <c r="S175" i="35"/>
  <c r="R175" i="35"/>
  <c r="Q175" i="35"/>
  <c r="P175" i="35"/>
  <c r="O175" i="35"/>
  <c r="N175" i="35"/>
  <c r="M175" i="35"/>
  <c r="L175" i="35"/>
  <c r="K175" i="35"/>
  <c r="J175" i="35"/>
  <c r="I175" i="35"/>
  <c r="G175" i="35"/>
  <c r="F175" i="35"/>
  <c r="E175" i="35"/>
  <c r="AI174" i="35"/>
  <c r="AH174" i="35"/>
  <c r="AG174" i="35"/>
  <c r="AF174" i="35"/>
  <c r="AE174" i="35"/>
  <c r="AD174" i="35"/>
  <c r="AC174" i="35"/>
  <c r="AB174" i="35"/>
  <c r="AA174" i="35"/>
  <c r="Z174" i="35"/>
  <c r="Y174" i="35"/>
  <c r="X174" i="35"/>
  <c r="W174" i="35"/>
  <c r="V174" i="35"/>
  <c r="U174" i="35"/>
  <c r="T174" i="35"/>
  <c r="S174" i="35"/>
  <c r="R174" i="35"/>
  <c r="Q174" i="35"/>
  <c r="P174" i="35"/>
  <c r="O174" i="35"/>
  <c r="N174" i="35"/>
  <c r="M174" i="35"/>
  <c r="L174" i="35"/>
  <c r="K174" i="35"/>
  <c r="J174" i="35"/>
  <c r="I174" i="35"/>
  <c r="G174" i="35"/>
  <c r="F174" i="35"/>
  <c r="E174" i="35"/>
  <c r="AI173" i="35"/>
  <c r="AH173" i="35"/>
  <c r="AG173" i="35"/>
  <c r="AF173" i="35"/>
  <c r="AE173" i="35"/>
  <c r="AD173" i="35"/>
  <c r="AC173" i="35"/>
  <c r="AB173" i="35"/>
  <c r="AA173" i="35"/>
  <c r="Z173" i="35"/>
  <c r="Y173" i="35"/>
  <c r="X173" i="35"/>
  <c r="W173" i="35"/>
  <c r="V173" i="35"/>
  <c r="U173" i="35"/>
  <c r="T173" i="35"/>
  <c r="S173" i="35"/>
  <c r="R173" i="35"/>
  <c r="Q173" i="35"/>
  <c r="P173" i="35"/>
  <c r="O173" i="35"/>
  <c r="N173" i="35"/>
  <c r="M173" i="35"/>
  <c r="L173" i="35"/>
  <c r="K173" i="35"/>
  <c r="J173" i="35"/>
  <c r="I173" i="35"/>
  <c r="G173" i="35"/>
  <c r="F173" i="35"/>
  <c r="E173" i="35"/>
  <c r="AI172" i="35"/>
  <c r="AH172" i="35"/>
  <c r="AG172" i="35"/>
  <c r="AF172" i="35"/>
  <c r="AE172" i="35"/>
  <c r="AD172" i="35"/>
  <c r="AC172" i="35"/>
  <c r="AB172" i="35"/>
  <c r="AA172" i="35"/>
  <c r="Z172" i="35"/>
  <c r="Y172" i="35"/>
  <c r="X172" i="35"/>
  <c r="W172" i="35"/>
  <c r="V172" i="35"/>
  <c r="U172" i="35"/>
  <c r="T172" i="35"/>
  <c r="S172" i="35"/>
  <c r="R172" i="35"/>
  <c r="Q172" i="35"/>
  <c r="P172" i="35"/>
  <c r="O172" i="35"/>
  <c r="N172" i="35"/>
  <c r="M172" i="35"/>
  <c r="L172" i="35"/>
  <c r="K172" i="35"/>
  <c r="J172" i="35"/>
  <c r="I172" i="35"/>
  <c r="G172" i="35"/>
  <c r="F172" i="35"/>
  <c r="E172" i="35"/>
  <c r="AI171" i="35"/>
  <c r="AH171" i="35"/>
  <c r="AG171" i="35"/>
  <c r="AF171" i="35"/>
  <c r="AE171" i="35"/>
  <c r="AD171" i="35"/>
  <c r="AC171" i="35"/>
  <c r="AB171" i="35"/>
  <c r="AA171" i="35"/>
  <c r="Z171" i="35"/>
  <c r="Y171" i="35"/>
  <c r="X171" i="35"/>
  <c r="W171" i="35"/>
  <c r="V171" i="35"/>
  <c r="U171" i="35"/>
  <c r="T171" i="35"/>
  <c r="S171" i="35"/>
  <c r="R171" i="35"/>
  <c r="Q171" i="35"/>
  <c r="P171" i="35"/>
  <c r="O171" i="35"/>
  <c r="N171" i="35"/>
  <c r="M171" i="35"/>
  <c r="L171" i="35"/>
  <c r="K171" i="35"/>
  <c r="J171" i="35"/>
  <c r="I171" i="35"/>
  <c r="G171" i="35"/>
  <c r="F171" i="35"/>
  <c r="E171" i="35"/>
  <c r="AI170" i="35"/>
  <c r="AH170" i="35"/>
  <c r="AG170" i="35"/>
  <c r="AF170" i="35"/>
  <c r="AE170" i="35"/>
  <c r="AD170" i="35"/>
  <c r="AC170" i="35"/>
  <c r="AB170" i="35"/>
  <c r="AA170" i="35"/>
  <c r="Z170" i="35"/>
  <c r="Y170" i="35"/>
  <c r="X170" i="35"/>
  <c r="W170" i="35"/>
  <c r="V170" i="35"/>
  <c r="U170" i="35"/>
  <c r="T170" i="35"/>
  <c r="S170" i="35"/>
  <c r="R170" i="35"/>
  <c r="Q170" i="35"/>
  <c r="P170" i="35"/>
  <c r="O170" i="35"/>
  <c r="N170" i="35"/>
  <c r="M170" i="35"/>
  <c r="L170" i="35"/>
  <c r="K170" i="35"/>
  <c r="J170" i="35"/>
  <c r="I170" i="35"/>
  <c r="G170" i="35"/>
  <c r="F170" i="35"/>
  <c r="E170" i="35"/>
  <c r="AI169" i="35"/>
  <c r="AH169" i="35"/>
  <c r="AG169" i="35"/>
  <c r="AF169" i="35"/>
  <c r="AE169" i="35"/>
  <c r="AD169" i="35"/>
  <c r="AC169" i="35"/>
  <c r="AB169" i="35"/>
  <c r="AA169" i="35"/>
  <c r="Z169" i="35"/>
  <c r="Y169" i="35"/>
  <c r="X169" i="35"/>
  <c r="W169" i="35"/>
  <c r="V169" i="35"/>
  <c r="U169" i="35"/>
  <c r="T169" i="35"/>
  <c r="S169" i="35"/>
  <c r="R169" i="35"/>
  <c r="Q169" i="35"/>
  <c r="P169" i="35"/>
  <c r="O169" i="35"/>
  <c r="N169" i="35"/>
  <c r="M169" i="35"/>
  <c r="L169" i="35"/>
  <c r="K169" i="35"/>
  <c r="J169" i="35"/>
  <c r="I169" i="35"/>
  <c r="G169" i="35"/>
  <c r="F169" i="35"/>
  <c r="E169" i="35"/>
  <c r="AI168" i="35"/>
  <c r="AH168" i="35"/>
  <c r="AG168" i="35"/>
  <c r="AF168" i="35"/>
  <c r="AE168" i="35"/>
  <c r="AD168" i="35"/>
  <c r="AC168" i="35"/>
  <c r="AB168" i="35"/>
  <c r="AA168" i="35"/>
  <c r="Z168" i="35"/>
  <c r="Y168" i="35"/>
  <c r="X168" i="35"/>
  <c r="W168" i="35"/>
  <c r="V168" i="35"/>
  <c r="U168" i="35"/>
  <c r="T168" i="35"/>
  <c r="S168" i="35"/>
  <c r="R168" i="35"/>
  <c r="Q168" i="35"/>
  <c r="P168" i="35"/>
  <c r="O168" i="35"/>
  <c r="N168" i="35"/>
  <c r="M168" i="35"/>
  <c r="L168" i="35"/>
  <c r="K168" i="35"/>
  <c r="J168" i="35"/>
  <c r="I168" i="35"/>
  <c r="G168" i="35"/>
  <c r="F168" i="35"/>
  <c r="E168" i="35"/>
  <c r="AI167" i="35"/>
  <c r="AH167" i="35"/>
  <c r="AG167" i="35"/>
  <c r="AF167" i="35"/>
  <c r="AE167" i="35"/>
  <c r="AD167" i="35"/>
  <c r="AC167" i="35"/>
  <c r="AB167" i="35"/>
  <c r="AA167" i="35"/>
  <c r="Z167" i="35"/>
  <c r="Y167" i="35"/>
  <c r="X167" i="35"/>
  <c r="W167" i="35"/>
  <c r="V167" i="35"/>
  <c r="U167" i="35"/>
  <c r="T167" i="35"/>
  <c r="S167" i="35"/>
  <c r="R167" i="35"/>
  <c r="Q167" i="35"/>
  <c r="P167" i="35"/>
  <c r="O167" i="35"/>
  <c r="N167" i="35"/>
  <c r="M167" i="35"/>
  <c r="L167" i="35"/>
  <c r="K167" i="35"/>
  <c r="J167" i="35"/>
  <c r="I167" i="35"/>
  <c r="H167" i="35"/>
  <c r="G167" i="35"/>
  <c r="F167" i="35"/>
  <c r="E167" i="35"/>
  <c r="AI166" i="35"/>
  <c r="AH166" i="35"/>
  <c r="AG166" i="35"/>
  <c r="AF166" i="35"/>
  <c r="AE166" i="35"/>
  <c r="AD166" i="35"/>
  <c r="AC166" i="35"/>
  <c r="AB166" i="35"/>
  <c r="AA166" i="35"/>
  <c r="Z166" i="35"/>
  <c r="Y166" i="35"/>
  <c r="X166" i="35"/>
  <c r="W166" i="35"/>
  <c r="V166" i="35"/>
  <c r="U166" i="35"/>
  <c r="T166" i="35"/>
  <c r="S166" i="35"/>
  <c r="R166" i="35"/>
  <c r="Q166" i="35"/>
  <c r="P166" i="35"/>
  <c r="O166" i="35"/>
  <c r="N166" i="35"/>
  <c r="M166" i="35"/>
  <c r="L166" i="35"/>
  <c r="K166" i="35"/>
  <c r="J166" i="35"/>
  <c r="I166" i="35"/>
  <c r="G166" i="35"/>
  <c r="F166" i="35"/>
  <c r="E166" i="35"/>
  <c r="AI165" i="35"/>
  <c r="AH165" i="35"/>
  <c r="AG165" i="35"/>
  <c r="AF165" i="35"/>
  <c r="AE165" i="35"/>
  <c r="AD165" i="35"/>
  <c r="AC165" i="35"/>
  <c r="AB165" i="35"/>
  <c r="AA165" i="35"/>
  <c r="Z165" i="35"/>
  <c r="Y165" i="35"/>
  <c r="X165" i="35"/>
  <c r="W165" i="35"/>
  <c r="V165" i="35"/>
  <c r="U165" i="35"/>
  <c r="T165" i="35"/>
  <c r="S165" i="35"/>
  <c r="R165" i="35"/>
  <c r="Q165" i="35"/>
  <c r="P165" i="35"/>
  <c r="O165" i="35"/>
  <c r="N165" i="35"/>
  <c r="M165" i="35"/>
  <c r="L165" i="35"/>
  <c r="K165" i="35"/>
  <c r="J165" i="35"/>
  <c r="I165" i="35"/>
  <c r="G165" i="35"/>
  <c r="F165" i="35"/>
  <c r="E165" i="35"/>
  <c r="AI164" i="35"/>
  <c r="AH164" i="35"/>
  <c r="AG164" i="35"/>
  <c r="AF164" i="35"/>
  <c r="AE164" i="35"/>
  <c r="AD164" i="35"/>
  <c r="AC164" i="35"/>
  <c r="AB164" i="35"/>
  <c r="AA164" i="35"/>
  <c r="Z164" i="35"/>
  <c r="Y164" i="35"/>
  <c r="X164" i="35"/>
  <c r="W164" i="35"/>
  <c r="V164" i="35"/>
  <c r="U164" i="35"/>
  <c r="T164" i="35"/>
  <c r="S164" i="35"/>
  <c r="R164" i="35"/>
  <c r="Q164" i="35"/>
  <c r="P164" i="35"/>
  <c r="O164" i="35"/>
  <c r="N164" i="35"/>
  <c r="M164" i="35"/>
  <c r="L164" i="35"/>
  <c r="K164" i="35"/>
  <c r="J164" i="35"/>
  <c r="I164" i="35"/>
  <c r="G164" i="35"/>
  <c r="F164" i="35"/>
  <c r="E164" i="35"/>
  <c r="AI163" i="35"/>
  <c r="AH163" i="35"/>
  <c r="AG163" i="35"/>
  <c r="AF163" i="35"/>
  <c r="AE163" i="35"/>
  <c r="AD163" i="35"/>
  <c r="AC163" i="35"/>
  <c r="AB163" i="35"/>
  <c r="AA163" i="35"/>
  <c r="Z163" i="35"/>
  <c r="Y163" i="35"/>
  <c r="X163" i="35"/>
  <c r="W163" i="35"/>
  <c r="V163" i="35"/>
  <c r="U163" i="35"/>
  <c r="T163" i="35"/>
  <c r="S163" i="35"/>
  <c r="R163" i="35"/>
  <c r="Q163" i="35"/>
  <c r="P163" i="35"/>
  <c r="O163" i="35"/>
  <c r="N163" i="35"/>
  <c r="M163" i="35"/>
  <c r="L163" i="35"/>
  <c r="K163" i="35"/>
  <c r="J163" i="35"/>
  <c r="I163" i="35"/>
  <c r="G163" i="35"/>
  <c r="F163" i="35"/>
  <c r="E163" i="35"/>
  <c r="AI162" i="35"/>
  <c r="AH162" i="35"/>
  <c r="AG162" i="35"/>
  <c r="AF162" i="35"/>
  <c r="AE162" i="35"/>
  <c r="AD162" i="35"/>
  <c r="AC162" i="35"/>
  <c r="AB162" i="35"/>
  <c r="AA162" i="35"/>
  <c r="Z162" i="35"/>
  <c r="Y162" i="35"/>
  <c r="X162" i="35"/>
  <c r="W162" i="35"/>
  <c r="V162" i="35"/>
  <c r="U162" i="35"/>
  <c r="T162" i="35"/>
  <c r="S162" i="35"/>
  <c r="R162" i="35"/>
  <c r="Q162" i="35"/>
  <c r="P162" i="35"/>
  <c r="O162" i="35"/>
  <c r="N162" i="35"/>
  <c r="M162" i="35"/>
  <c r="L162" i="35"/>
  <c r="K162" i="35"/>
  <c r="J162" i="35"/>
  <c r="I162" i="35"/>
  <c r="G162" i="35"/>
  <c r="F162" i="35"/>
  <c r="E162" i="35"/>
  <c r="AI161" i="35"/>
  <c r="AH161" i="35"/>
  <c r="AG161" i="35"/>
  <c r="AF161" i="35"/>
  <c r="AE161" i="35"/>
  <c r="AD161" i="35"/>
  <c r="AC161" i="35"/>
  <c r="AB161" i="35"/>
  <c r="AA161" i="35"/>
  <c r="Z161" i="35"/>
  <c r="Y161" i="35"/>
  <c r="X161" i="35"/>
  <c r="W161" i="35"/>
  <c r="V161" i="35"/>
  <c r="U161" i="35"/>
  <c r="T161" i="35"/>
  <c r="S161" i="35"/>
  <c r="R161" i="35"/>
  <c r="Q161" i="35"/>
  <c r="P161" i="35"/>
  <c r="O161" i="35"/>
  <c r="N161" i="35"/>
  <c r="M161" i="35"/>
  <c r="L161" i="35"/>
  <c r="K161" i="35"/>
  <c r="J161" i="35"/>
  <c r="I161" i="35"/>
  <c r="G161" i="35"/>
  <c r="F161" i="35"/>
  <c r="E161" i="35"/>
  <c r="AI160" i="35"/>
  <c r="AH160" i="35"/>
  <c r="AG160" i="35"/>
  <c r="AF160" i="35"/>
  <c r="AE160" i="35"/>
  <c r="AD160" i="35"/>
  <c r="AC160" i="35"/>
  <c r="AB160" i="35"/>
  <c r="AA160" i="35"/>
  <c r="Z160" i="35"/>
  <c r="Y160" i="35"/>
  <c r="X160" i="35"/>
  <c r="W160" i="35"/>
  <c r="V160" i="35"/>
  <c r="U160" i="35"/>
  <c r="T160" i="35"/>
  <c r="S160" i="35"/>
  <c r="R160" i="35"/>
  <c r="Q160" i="35"/>
  <c r="P160" i="35"/>
  <c r="O160" i="35"/>
  <c r="N160" i="35"/>
  <c r="M160" i="35"/>
  <c r="L160" i="35"/>
  <c r="K160" i="35"/>
  <c r="J160" i="35"/>
  <c r="I160" i="35"/>
  <c r="G160" i="35"/>
  <c r="F160" i="35"/>
  <c r="E160" i="35"/>
  <c r="AI159" i="35"/>
  <c r="AH159" i="35"/>
  <c r="AG159" i="35"/>
  <c r="AF159" i="35"/>
  <c r="AE159" i="35"/>
  <c r="AD159" i="35"/>
  <c r="AC159" i="35"/>
  <c r="AB159" i="35"/>
  <c r="AA159" i="35"/>
  <c r="Z159" i="35"/>
  <c r="Y159" i="35"/>
  <c r="X159" i="35"/>
  <c r="W159" i="35"/>
  <c r="V159" i="35"/>
  <c r="U159" i="35"/>
  <c r="T159" i="35"/>
  <c r="S159" i="35"/>
  <c r="R159" i="35"/>
  <c r="Q159" i="35"/>
  <c r="P159" i="35"/>
  <c r="O159" i="35"/>
  <c r="N159" i="35"/>
  <c r="M159" i="35"/>
  <c r="L159" i="35"/>
  <c r="K159" i="35"/>
  <c r="J159" i="35"/>
  <c r="I159" i="35"/>
  <c r="G159" i="35"/>
  <c r="F159" i="35"/>
  <c r="E159" i="35"/>
  <c r="AI158" i="35"/>
  <c r="AH158" i="35"/>
  <c r="AG158" i="35"/>
  <c r="AF158" i="35"/>
  <c r="AE158" i="35"/>
  <c r="AD158" i="35"/>
  <c r="AC158" i="35"/>
  <c r="AB158" i="35"/>
  <c r="AA158" i="35"/>
  <c r="Z158" i="35"/>
  <c r="Y158" i="35"/>
  <c r="X158" i="35"/>
  <c r="W158" i="35"/>
  <c r="V158" i="35"/>
  <c r="U158" i="35"/>
  <c r="T158" i="35"/>
  <c r="S158" i="35"/>
  <c r="R158" i="35"/>
  <c r="Q158" i="35"/>
  <c r="P158" i="35"/>
  <c r="O158" i="35"/>
  <c r="N158" i="35"/>
  <c r="M158" i="35"/>
  <c r="L158" i="35"/>
  <c r="K158" i="35"/>
  <c r="J158" i="35"/>
  <c r="I158" i="35"/>
  <c r="G158" i="35"/>
  <c r="F158" i="35"/>
  <c r="E158" i="35"/>
  <c r="AI157" i="35"/>
  <c r="AH157" i="35"/>
  <c r="AG157" i="35"/>
  <c r="AF157" i="35"/>
  <c r="AE157" i="35"/>
  <c r="AD157" i="35"/>
  <c r="AC157" i="35"/>
  <c r="AB157" i="35"/>
  <c r="AA157" i="35"/>
  <c r="Z157" i="35"/>
  <c r="Y157" i="35"/>
  <c r="X157" i="35"/>
  <c r="W157" i="35"/>
  <c r="V157" i="35"/>
  <c r="U157" i="35"/>
  <c r="T157" i="35"/>
  <c r="S157" i="35"/>
  <c r="R157" i="35"/>
  <c r="Q157" i="35"/>
  <c r="P157" i="35"/>
  <c r="O157" i="35"/>
  <c r="N157" i="35"/>
  <c r="M157" i="35"/>
  <c r="L157" i="35"/>
  <c r="K157" i="35"/>
  <c r="J157" i="35"/>
  <c r="I157" i="35"/>
  <c r="G157" i="35"/>
  <c r="F157" i="35"/>
  <c r="E157" i="35"/>
  <c r="AI156" i="35"/>
  <c r="AH156" i="35"/>
  <c r="AG156" i="35"/>
  <c r="AF156" i="35"/>
  <c r="AE156" i="35"/>
  <c r="AD156" i="35"/>
  <c r="AC156" i="35"/>
  <c r="AB156" i="35"/>
  <c r="AA156" i="35"/>
  <c r="Z156" i="35"/>
  <c r="Y156" i="35"/>
  <c r="X156" i="35"/>
  <c r="W156" i="35"/>
  <c r="V156" i="35"/>
  <c r="U156" i="35"/>
  <c r="T156" i="35"/>
  <c r="S156" i="35"/>
  <c r="R156" i="35"/>
  <c r="Q156" i="35"/>
  <c r="P156" i="35"/>
  <c r="O156" i="35"/>
  <c r="N156" i="35"/>
  <c r="M156" i="35"/>
  <c r="L156" i="35"/>
  <c r="K156" i="35"/>
  <c r="J156" i="35"/>
  <c r="I156" i="35"/>
  <c r="G156" i="35"/>
  <c r="F156" i="35"/>
  <c r="E156" i="35"/>
  <c r="AI155" i="35"/>
  <c r="AH155" i="35"/>
  <c r="AG155" i="35"/>
  <c r="AF155" i="35"/>
  <c r="AE155" i="35"/>
  <c r="AD155" i="35"/>
  <c r="AC155" i="35"/>
  <c r="AB155" i="35"/>
  <c r="AA155" i="35"/>
  <c r="Z155" i="35"/>
  <c r="Y155" i="35"/>
  <c r="X155" i="35"/>
  <c r="W155" i="35"/>
  <c r="V155" i="35"/>
  <c r="U155" i="35"/>
  <c r="T155" i="35"/>
  <c r="S155" i="35"/>
  <c r="R155" i="35"/>
  <c r="Q155" i="35"/>
  <c r="P155" i="35"/>
  <c r="O155" i="35"/>
  <c r="N155" i="35"/>
  <c r="M155" i="35"/>
  <c r="L155" i="35"/>
  <c r="K155" i="35"/>
  <c r="J155" i="35"/>
  <c r="I155" i="35"/>
  <c r="H155" i="35"/>
  <c r="G155" i="35"/>
  <c r="F155" i="35"/>
  <c r="E155" i="35"/>
  <c r="AI154" i="35"/>
  <c r="AH154" i="35"/>
  <c r="AG154" i="35"/>
  <c r="AF154" i="35"/>
  <c r="AE154" i="35"/>
  <c r="AD154" i="35"/>
  <c r="AC154" i="35"/>
  <c r="AB154" i="35"/>
  <c r="AA154" i="35"/>
  <c r="Z154" i="35"/>
  <c r="Y154" i="35"/>
  <c r="X154" i="35"/>
  <c r="W154" i="35"/>
  <c r="V154" i="35"/>
  <c r="U154" i="35"/>
  <c r="T154" i="35"/>
  <c r="S154" i="35"/>
  <c r="R154" i="35"/>
  <c r="Q154" i="35"/>
  <c r="P154" i="35"/>
  <c r="O154" i="35"/>
  <c r="N154" i="35"/>
  <c r="M154" i="35"/>
  <c r="L154" i="35"/>
  <c r="K154" i="35"/>
  <c r="J154" i="35"/>
  <c r="I154" i="35"/>
  <c r="G154" i="35"/>
  <c r="F154" i="35"/>
  <c r="E154" i="35"/>
  <c r="AI153" i="35"/>
  <c r="AH153" i="35"/>
  <c r="AG153" i="35"/>
  <c r="AF153" i="35"/>
  <c r="AE153" i="35"/>
  <c r="AD153" i="35"/>
  <c r="AC153" i="35"/>
  <c r="AB153" i="35"/>
  <c r="AA153" i="35"/>
  <c r="Z153" i="35"/>
  <c r="Y153" i="35"/>
  <c r="X153" i="35"/>
  <c r="W153" i="35"/>
  <c r="V153" i="35"/>
  <c r="U153" i="35"/>
  <c r="T153" i="35"/>
  <c r="S153" i="35"/>
  <c r="R153" i="35"/>
  <c r="Q153" i="35"/>
  <c r="P153" i="35"/>
  <c r="O153" i="35"/>
  <c r="N153" i="35"/>
  <c r="M153" i="35"/>
  <c r="L153" i="35"/>
  <c r="K153" i="35"/>
  <c r="J153" i="35"/>
  <c r="I153" i="35"/>
  <c r="G153" i="35"/>
  <c r="F153" i="35"/>
  <c r="E153" i="35"/>
  <c r="AI152" i="35"/>
  <c r="AH152" i="35"/>
  <c r="AG152" i="35"/>
  <c r="AF152" i="35"/>
  <c r="AE152" i="35"/>
  <c r="AD152" i="35"/>
  <c r="AC152" i="35"/>
  <c r="AB152" i="35"/>
  <c r="AA152" i="35"/>
  <c r="Z152" i="35"/>
  <c r="Y152" i="35"/>
  <c r="X152" i="35"/>
  <c r="W152" i="35"/>
  <c r="V152" i="35"/>
  <c r="U152" i="35"/>
  <c r="T152" i="35"/>
  <c r="S152" i="35"/>
  <c r="R152" i="35"/>
  <c r="Q152" i="35"/>
  <c r="P152" i="35"/>
  <c r="O152" i="35"/>
  <c r="N152" i="35"/>
  <c r="M152" i="35"/>
  <c r="L152" i="35"/>
  <c r="K152" i="35"/>
  <c r="J152" i="35"/>
  <c r="I152" i="35"/>
  <c r="G152" i="35"/>
  <c r="F152" i="35"/>
  <c r="E152" i="35"/>
  <c r="AI151" i="35"/>
  <c r="AH151" i="35"/>
  <c r="AG151" i="35"/>
  <c r="AF151" i="35"/>
  <c r="AE151" i="35"/>
  <c r="AD151" i="35"/>
  <c r="AC151" i="35"/>
  <c r="AB151" i="35"/>
  <c r="AA151" i="35"/>
  <c r="Z151" i="35"/>
  <c r="Y151" i="35"/>
  <c r="X151" i="35"/>
  <c r="W151" i="35"/>
  <c r="V151" i="35"/>
  <c r="U151" i="35"/>
  <c r="T151" i="35"/>
  <c r="S151" i="35"/>
  <c r="R151" i="35"/>
  <c r="Q151" i="35"/>
  <c r="P151" i="35"/>
  <c r="O151" i="35"/>
  <c r="N151" i="35"/>
  <c r="M151" i="35"/>
  <c r="L151" i="35"/>
  <c r="K151" i="35"/>
  <c r="J151" i="35"/>
  <c r="I151" i="35"/>
  <c r="G151" i="35"/>
  <c r="F151" i="35"/>
  <c r="E151" i="35"/>
  <c r="AI150" i="35"/>
  <c r="AH150" i="35"/>
  <c r="AG150" i="35"/>
  <c r="AF150" i="35"/>
  <c r="AE150" i="35"/>
  <c r="AD150" i="35"/>
  <c r="AC150" i="35"/>
  <c r="AB150" i="35"/>
  <c r="AA150" i="35"/>
  <c r="Z150" i="35"/>
  <c r="Y150" i="35"/>
  <c r="X150" i="35"/>
  <c r="W150" i="35"/>
  <c r="V150" i="35"/>
  <c r="U150" i="35"/>
  <c r="T150" i="35"/>
  <c r="S150" i="35"/>
  <c r="R150" i="35"/>
  <c r="Q150" i="35"/>
  <c r="P150" i="35"/>
  <c r="O150" i="35"/>
  <c r="N150" i="35"/>
  <c r="M150" i="35"/>
  <c r="L150" i="35"/>
  <c r="K150" i="35"/>
  <c r="J150" i="35"/>
  <c r="I150" i="35"/>
  <c r="G150" i="35"/>
  <c r="F150" i="35"/>
  <c r="E150" i="35"/>
  <c r="AI149" i="35"/>
  <c r="AH149" i="35"/>
  <c r="AG149" i="35"/>
  <c r="AF149" i="35"/>
  <c r="AE149" i="35"/>
  <c r="AD149" i="35"/>
  <c r="AC149" i="35"/>
  <c r="AB149" i="35"/>
  <c r="AA149" i="35"/>
  <c r="Z149" i="35"/>
  <c r="Y149" i="35"/>
  <c r="X149" i="35"/>
  <c r="W149" i="35"/>
  <c r="V149" i="35"/>
  <c r="U149" i="35"/>
  <c r="T149" i="35"/>
  <c r="S149" i="35"/>
  <c r="R149" i="35"/>
  <c r="Q149" i="35"/>
  <c r="P149" i="35"/>
  <c r="O149" i="35"/>
  <c r="N149" i="35"/>
  <c r="M149" i="35"/>
  <c r="L149" i="35"/>
  <c r="K149" i="35"/>
  <c r="J149" i="35"/>
  <c r="I149" i="35"/>
  <c r="G149" i="35"/>
  <c r="F149" i="35"/>
  <c r="E149" i="35"/>
  <c r="AI148" i="35"/>
  <c r="AH148" i="35"/>
  <c r="AG148" i="35"/>
  <c r="AF148" i="35"/>
  <c r="AE148" i="35"/>
  <c r="AD148" i="35"/>
  <c r="AC148" i="35"/>
  <c r="AB148" i="35"/>
  <c r="AA148" i="35"/>
  <c r="Z148" i="35"/>
  <c r="Y148" i="35"/>
  <c r="X148" i="35"/>
  <c r="W148" i="35"/>
  <c r="V148" i="35"/>
  <c r="U148" i="35"/>
  <c r="T148" i="35"/>
  <c r="S148" i="35"/>
  <c r="R148" i="35"/>
  <c r="Q148" i="35"/>
  <c r="P148" i="35"/>
  <c r="O148" i="35"/>
  <c r="N148" i="35"/>
  <c r="M148" i="35"/>
  <c r="L148" i="35"/>
  <c r="K148" i="35"/>
  <c r="J148" i="35"/>
  <c r="I148" i="35"/>
  <c r="G148" i="35"/>
  <c r="F148" i="35"/>
  <c r="E148" i="35"/>
  <c r="AI147" i="35"/>
  <c r="AH147" i="35"/>
  <c r="AG147" i="35"/>
  <c r="AF147" i="35"/>
  <c r="AE147" i="35"/>
  <c r="AD147" i="35"/>
  <c r="AC147" i="35"/>
  <c r="AB147" i="35"/>
  <c r="AA147" i="35"/>
  <c r="Z147" i="35"/>
  <c r="Y147" i="35"/>
  <c r="X147" i="35"/>
  <c r="W147" i="35"/>
  <c r="V147" i="35"/>
  <c r="U147" i="35"/>
  <c r="T147" i="35"/>
  <c r="S147" i="35"/>
  <c r="R147" i="35"/>
  <c r="Q147" i="35"/>
  <c r="P147" i="35"/>
  <c r="O147" i="35"/>
  <c r="N147" i="35"/>
  <c r="M147" i="35"/>
  <c r="L147" i="35"/>
  <c r="K147" i="35"/>
  <c r="J147" i="35"/>
  <c r="I147" i="35"/>
  <c r="H147" i="35"/>
  <c r="G147" i="35"/>
  <c r="F147" i="35"/>
  <c r="E147" i="35"/>
  <c r="AI51" i="35"/>
  <c r="AH51" i="35"/>
  <c r="AG51" i="35"/>
  <c r="AF51" i="35"/>
  <c r="AE51" i="35"/>
  <c r="AD51" i="35"/>
  <c r="AC51" i="35"/>
  <c r="AB51" i="35"/>
  <c r="AA51" i="35"/>
  <c r="Z51" i="35"/>
  <c r="Y51" i="35"/>
  <c r="X51" i="35"/>
  <c r="W51" i="35"/>
  <c r="V51" i="35"/>
  <c r="U51" i="35"/>
  <c r="T51" i="35"/>
  <c r="S51" i="35"/>
  <c r="R51" i="35"/>
  <c r="Q51" i="35"/>
  <c r="P51" i="35"/>
  <c r="O51" i="35"/>
  <c r="N51" i="35"/>
  <c r="M51" i="35"/>
  <c r="L51" i="35"/>
  <c r="K51" i="35"/>
  <c r="J51" i="35"/>
  <c r="I51" i="35"/>
  <c r="G51" i="35"/>
  <c r="F51" i="35"/>
  <c r="E51" i="35"/>
  <c r="AI50" i="35"/>
  <c r="AH50" i="35"/>
  <c r="AG50" i="35"/>
  <c r="AF50" i="35"/>
  <c r="AE50" i="35"/>
  <c r="AD50" i="35"/>
  <c r="AC50" i="35"/>
  <c r="AB50" i="35"/>
  <c r="AA50" i="35"/>
  <c r="Z50" i="35"/>
  <c r="Y50" i="35"/>
  <c r="X50" i="35"/>
  <c r="W50" i="35"/>
  <c r="V50" i="35"/>
  <c r="U50" i="35"/>
  <c r="T50" i="35"/>
  <c r="S50" i="35"/>
  <c r="R50" i="35"/>
  <c r="Q50" i="35"/>
  <c r="P50" i="35"/>
  <c r="O50" i="35"/>
  <c r="N50" i="35"/>
  <c r="M50" i="35"/>
  <c r="L50" i="35"/>
  <c r="K50" i="35"/>
  <c r="J50" i="35"/>
  <c r="I50" i="35"/>
  <c r="G50" i="35"/>
  <c r="F50" i="35"/>
  <c r="E50" i="35"/>
  <c r="AI49" i="35"/>
  <c r="AH49" i="35"/>
  <c r="AG49" i="35"/>
  <c r="AF49" i="35"/>
  <c r="AE49" i="35"/>
  <c r="AD49" i="35"/>
  <c r="AC49" i="35"/>
  <c r="AB49" i="35"/>
  <c r="AA49" i="35"/>
  <c r="Z49" i="35"/>
  <c r="Y49" i="35"/>
  <c r="X49" i="35"/>
  <c r="W49" i="35"/>
  <c r="V49" i="35"/>
  <c r="U49" i="35"/>
  <c r="T49" i="35"/>
  <c r="S49" i="35"/>
  <c r="R49" i="35"/>
  <c r="Q49" i="35"/>
  <c r="P49" i="35"/>
  <c r="O49" i="35"/>
  <c r="N49" i="35"/>
  <c r="M49" i="35"/>
  <c r="L49" i="35"/>
  <c r="K49" i="35"/>
  <c r="J49" i="35"/>
  <c r="I49" i="35"/>
  <c r="G49" i="35"/>
  <c r="F49" i="35"/>
  <c r="E49" i="35"/>
  <c r="AI48" i="35"/>
  <c r="AH48" i="35"/>
  <c r="AG48" i="35"/>
  <c r="AF48" i="35"/>
  <c r="AE48" i="35"/>
  <c r="AD48" i="35"/>
  <c r="AC48" i="35"/>
  <c r="AB48" i="35"/>
  <c r="AA48" i="35"/>
  <c r="Z48" i="35"/>
  <c r="Y48" i="35"/>
  <c r="X48" i="35"/>
  <c r="W48" i="35"/>
  <c r="V48" i="35"/>
  <c r="U48" i="35"/>
  <c r="T48" i="35"/>
  <c r="S48" i="35"/>
  <c r="R48" i="35"/>
  <c r="Q48" i="35"/>
  <c r="P48" i="35"/>
  <c r="O48" i="35"/>
  <c r="N48" i="35"/>
  <c r="M48" i="35"/>
  <c r="L48" i="35"/>
  <c r="K48" i="35"/>
  <c r="J48" i="35"/>
  <c r="I48" i="35"/>
  <c r="G48" i="35"/>
  <c r="F48" i="35"/>
  <c r="E48" i="35"/>
  <c r="AI47" i="35"/>
  <c r="AH47" i="35"/>
  <c r="AG47" i="35"/>
  <c r="AF47" i="35"/>
  <c r="AE47" i="35"/>
  <c r="AD47" i="35"/>
  <c r="AC47" i="35"/>
  <c r="AB47" i="35"/>
  <c r="AA47" i="35"/>
  <c r="Z47" i="35"/>
  <c r="Y47" i="35"/>
  <c r="X47" i="35"/>
  <c r="W47" i="35"/>
  <c r="V47" i="35"/>
  <c r="U47" i="35"/>
  <c r="T47" i="35"/>
  <c r="S47" i="35"/>
  <c r="R47" i="35"/>
  <c r="Q47" i="35"/>
  <c r="P47" i="35"/>
  <c r="O47" i="35"/>
  <c r="N47" i="35"/>
  <c r="M47" i="35"/>
  <c r="L47" i="35"/>
  <c r="K47" i="35"/>
  <c r="J47" i="35"/>
  <c r="I47" i="35"/>
  <c r="G47" i="35"/>
  <c r="F47" i="35"/>
  <c r="E47" i="35"/>
  <c r="AI46" i="35"/>
  <c r="AH46" i="35"/>
  <c r="AG46" i="35"/>
  <c r="AF46" i="35"/>
  <c r="AE46" i="35"/>
  <c r="AD46" i="35"/>
  <c r="AC46" i="35"/>
  <c r="AB46" i="35"/>
  <c r="AA46" i="35"/>
  <c r="Z46" i="35"/>
  <c r="Y46" i="35"/>
  <c r="X46" i="35"/>
  <c r="W46" i="35"/>
  <c r="V46" i="35"/>
  <c r="U46" i="35"/>
  <c r="T46" i="35"/>
  <c r="S46" i="35"/>
  <c r="R46" i="35"/>
  <c r="Q46" i="35"/>
  <c r="P46" i="35"/>
  <c r="O46" i="35"/>
  <c r="N46" i="35"/>
  <c r="M46" i="35"/>
  <c r="L46" i="35"/>
  <c r="K46" i="35"/>
  <c r="J46" i="35"/>
  <c r="I46" i="35"/>
  <c r="G46" i="35"/>
  <c r="F46" i="35"/>
  <c r="E46" i="35"/>
  <c r="AI45" i="35"/>
  <c r="AH45" i="35"/>
  <c r="AG45" i="35"/>
  <c r="AF45" i="35"/>
  <c r="AE45" i="35"/>
  <c r="AD45" i="35"/>
  <c r="AC45" i="35"/>
  <c r="AB45" i="35"/>
  <c r="AA45" i="35"/>
  <c r="Z45" i="35"/>
  <c r="Y45" i="35"/>
  <c r="X45" i="35"/>
  <c r="W45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I45" i="35"/>
  <c r="G45" i="35"/>
  <c r="F45" i="35"/>
  <c r="E45" i="35"/>
  <c r="AI44" i="35"/>
  <c r="AH44" i="35"/>
  <c r="AG44" i="35"/>
  <c r="AF44" i="35"/>
  <c r="AE44" i="35"/>
  <c r="AD44" i="35"/>
  <c r="AC44" i="35"/>
  <c r="AB44" i="35"/>
  <c r="AA44" i="35"/>
  <c r="Z44" i="35"/>
  <c r="Y44" i="35"/>
  <c r="X44" i="35"/>
  <c r="W44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I44" i="35"/>
  <c r="G44" i="35"/>
  <c r="F44" i="35"/>
  <c r="E44" i="35"/>
  <c r="AI43" i="35"/>
  <c r="AH43" i="35"/>
  <c r="AG43" i="35"/>
  <c r="AF43" i="35"/>
  <c r="AE43" i="35"/>
  <c r="AD43" i="35"/>
  <c r="AC43" i="35"/>
  <c r="AB43" i="35"/>
  <c r="AA43" i="35"/>
  <c r="Z43" i="35"/>
  <c r="Y43" i="35"/>
  <c r="X43" i="35"/>
  <c r="W43" i="35"/>
  <c r="V43" i="35"/>
  <c r="U43" i="35"/>
  <c r="T43" i="35"/>
  <c r="S43" i="35"/>
  <c r="R43" i="35"/>
  <c r="Q43" i="35"/>
  <c r="P43" i="35"/>
  <c r="O43" i="35"/>
  <c r="N43" i="35"/>
  <c r="M43" i="35"/>
  <c r="L43" i="35"/>
  <c r="K43" i="35"/>
  <c r="J43" i="35"/>
  <c r="I43" i="35"/>
  <c r="G43" i="35"/>
  <c r="F43" i="35"/>
  <c r="E43" i="35"/>
  <c r="AI42" i="35"/>
  <c r="AH42" i="35"/>
  <c r="AG42" i="35"/>
  <c r="AF42" i="35"/>
  <c r="AE42" i="35"/>
  <c r="AD42" i="35"/>
  <c r="AC42" i="35"/>
  <c r="AB42" i="35"/>
  <c r="AA42" i="35"/>
  <c r="Z42" i="35"/>
  <c r="Y42" i="35"/>
  <c r="X42" i="35"/>
  <c r="W42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I42" i="35"/>
  <c r="G42" i="35"/>
  <c r="F42" i="35"/>
  <c r="E42" i="35"/>
  <c r="AI41" i="35"/>
  <c r="AH41" i="35"/>
  <c r="AG41" i="35"/>
  <c r="AF41" i="35"/>
  <c r="AE41" i="35"/>
  <c r="AD41" i="35"/>
  <c r="AC41" i="35"/>
  <c r="AB41" i="35"/>
  <c r="AA41" i="35"/>
  <c r="Z41" i="35"/>
  <c r="Y41" i="35"/>
  <c r="X41" i="35"/>
  <c r="W41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G41" i="35"/>
  <c r="F41" i="35"/>
  <c r="E41" i="35"/>
  <c r="AI40" i="35"/>
  <c r="AH40" i="35"/>
  <c r="AG40" i="35"/>
  <c r="AF40" i="35"/>
  <c r="AE40" i="35"/>
  <c r="AD40" i="35"/>
  <c r="AC40" i="35"/>
  <c r="AB40" i="35"/>
  <c r="AA40" i="35"/>
  <c r="Z40" i="35"/>
  <c r="Y40" i="35"/>
  <c r="X40" i="35"/>
  <c r="W40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G40" i="35"/>
  <c r="F40" i="35"/>
  <c r="E40" i="35"/>
  <c r="AI39" i="35"/>
  <c r="AH39" i="35"/>
  <c r="AG39" i="35"/>
  <c r="AF39" i="35"/>
  <c r="AE39" i="35"/>
  <c r="AD39" i="35"/>
  <c r="AC39" i="35"/>
  <c r="AB39" i="35"/>
  <c r="AA39" i="35"/>
  <c r="Z39" i="35"/>
  <c r="Y39" i="35"/>
  <c r="X39" i="35"/>
  <c r="W39" i="35"/>
  <c r="V39" i="35"/>
  <c r="U39" i="35"/>
  <c r="T39" i="35"/>
  <c r="S39" i="35"/>
  <c r="R39" i="35"/>
  <c r="Q39" i="35"/>
  <c r="P39" i="35"/>
  <c r="O39" i="35"/>
  <c r="N39" i="35"/>
  <c r="M39" i="35"/>
  <c r="L39" i="35"/>
  <c r="K39" i="35"/>
  <c r="J39" i="35"/>
  <c r="I39" i="35"/>
  <c r="G39" i="35"/>
  <c r="F39" i="35"/>
  <c r="E39" i="35"/>
  <c r="AI38" i="35"/>
  <c r="AH38" i="35"/>
  <c r="AG38" i="35"/>
  <c r="AF38" i="35"/>
  <c r="AE38" i="35"/>
  <c r="AD38" i="35"/>
  <c r="AC38" i="35"/>
  <c r="AB38" i="35"/>
  <c r="AA38" i="35"/>
  <c r="Z38" i="35"/>
  <c r="Y38" i="35"/>
  <c r="X38" i="35"/>
  <c r="W38" i="35"/>
  <c r="V38" i="35"/>
  <c r="U38" i="35"/>
  <c r="T38" i="35"/>
  <c r="S38" i="35"/>
  <c r="R38" i="35"/>
  <c r="Q38" i="35"/>
  <c r="P38" i="35"/>
  <c r="O38" i="35"/>
  <c r="N38" i="35"/>
  <c r="M38" i="35"/>
  <c r="L38" i="35"/>
  <c r="K38" i="35"/>
  <c r="J38" i="35"/>
  <c r="I38" i="35"/>
  <c r="G38" i="35"/>
  <c r="F38" i="35"/>
  <c r="E38" i="35"/>
  <c r="AI37" i="35"/>
  <c r="AH37" i="35"/>
  <c r="AG37" i="35"/>
  <c r="AF37" i="35"/>
  <c r="AE37" i="35"/>
  <c r="AD37" i="35"/>
  <c r="AC37" i="35"/>
  <c r="AB37" i="35"/>
  <c r="AA37" i="35"/>
  <c r="Z37" i="35"/>
  <c r="Y37" i="35"/>
  <c r="X37" i="35"/>
  <c r="W37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I37" i="35"/>
  <c r="G37" i="35"/>
  <c r="F37" i="35"/>
  <c r="E37" i="35"/>
  <c r="AI36" i="35"/>
  <c r="AH36" i="35"/>
  <c r="AG36" i="35"/>
  <c r="AF36" i="35"/>
  <c r="AE36" i="35"/>
  <c r="AD36" i="35"/>
  <c r="AC36" i="35"/>
  <c r="AB36" i="35"/>
  <c r="AA36" i="35"/>
  <c r="Z36" i="35"/>
  <c r="Y36" i="35"/>
  <c r="X36" i="35"/>
  <c r="W36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G36" i="35"/>
  <c r="F36" i="35"/>
  <c r="E36" i="35"/>
  <c r="C14" i="84" l="1"/>
  <c r="I13" i="83"/>
  <c r="C14" i="73"/>
  <c r="L13" i="68"/>
  <c r="K13" i="69" s="1"/>
  <c r="L13" i="69" s="1"/>
  <c r="K13" i="70" s="1"/>
  <c r="L13" i="70" s="1"/>
  <c r="K13" i="71" s="1"/>
  <c r="L13" i="71" s="1"/>
  <c r="H195" i="35"/>
  <c r="AJ195" i="35" s="1"/>
  <c r="H135" i="35"/>
  <c r="AJ135" i="35" s="1"/>
  <c r="H47" i="35"/>
  <c r="AJ47" i="35" s="1"/>
  <c r="H154" i="35"/>
  <c r="AJ154" i="35" s="1"/>
  <c r="H166" i="35"/>
  <c r="AJ166" i="35" s="1"/>
  <c r="H178" i="35"/>
  <c r="AJ178" i="35" s="1"/>
  <c r="H190" i="35"/>
  <c r="AJ190" i="35" s="1"/>
  <c r="H202" i="35"/>
  <c r="AJ202" i="35" s="1"/>
  <c r="H59" i="35"/>
  <c r="AJ59" i="35" s="1"/>
  <c r="H71" i="35"/>
  <c r="AJ71" i="35" s="1"/>
  <c r="H83" i="35"/>
  <c r="AJ83" i="35" s="1"/>
  <c r="H94" i="35"/>
  <c r="AJ94" i="35" s="1"/>
  <c r="H106" i="35"/>
  <c r="AJ106" i="35" s="1"/>
  <c r="H118" i="35"/>
  <c r="AJ118" i="35" s="1"/>
  <c r="H130" i="35"/>
  <c r="AJ130" i="35" s="1"/>
  <c r="H142" i="35"/>
  <c r="AJ142" i="35" s="1"/>
  <c r="H111" i="35"/>
  <c r="AJ111" i="35" s="1"/>
  <c r="H161" i="35"/>
  <c r="AJ161" i="35" s="1"/>
  <c r="H173" i="35"/>
  <c r="AJ173" i="35" s="1"/>
  <c r="H185" i="35"/>
  <c r="AJ185" i="35" s="1"/>
  <c r="H197" i="35"/>
  <c r="AJ197" i="35" s="1"/>
  <c r="H54" i="35"/>
  <c r="AJ54" i="35" s="1"/>
  <c r="H66" i="35"/>
  <c r="AJ66" i="35" s="1"/>
  <c r="H78" i="35"/>
  <c r="AJ78" i="35" s="1"/>
  <c r="H89" i="35"/>
  <c r="AJ89" i="35" s="1"/>
  <c r="H101" i="35"/>
  <c r="AJ101" i="35" s="1"/>
  <c r="H113" i="35"/>
  <c r="AJ113" i="35" s="1"/>
  <c r="H125" i="35"/>
  <c r="AJ125" i="35" s="1"/>
  <c r="H137" i="35"/>
  <c r="AJ137" i="35" s="1"/>
  <c r="H48" i="35"/>
  <c r="AJ48" i="35" s="1"/>
  <c r="H159" i="35"/>
  <c r="AJ159" i="35" s="1"/>
  <c r="H99" i="35"/>
  <c r="AJ99" i="35" s="1"/>
  <c r="H156" i="35"/>
  <c r="AJ156" i="35" s="1"/>
  <c r="H168" i="35"/>
  <c r="AJ168" i="35" s="1"/>
  <c r="H180" i="35"/>
  <c r="AJ180" i="35" s="1"/>
  <c r="H192" i="35"/>
  <c r="AJ192" i="35" s="1"/>
  <c r="H204" i="35"/>
  <c r="H61" i="35"/>
  <c r="AJ61" i="35" s="1"/>
  <c r="H73" i="35"/>
  <c r="AJ73" i="35" s="1"/>
  <c r="H85" i="35"/>
  <c r="AJ85" i="35" s="1"/>
  <c r="H96" i="35"/>
  <c r="AJ96" i="35" s="1"/>
  <c r="H108" i="35"/>
  <c r="AJ108" i="35" s="1"/>
  <c r="H120" i="35"/>
  <c r="AJ120" i="35" s="1"/>
  <c r="H132" i="35"/>
  <c r="AJ132" i="35" s="1"/>
  <c r="H144" i="35"/>
  <c r="AJ144" i="35" s="1"/>
  <c r="H171" i="35"/>
  <c r="AJ171" i="35" s="1"/>
  <c r="H123" i="35"/>
  <c r="AJ123" i="35" s="1"/>
  <c r="H42" i="35"/>
  <c r="AJ42" i="35" s="1"/>
  <c r="H37" i="35"/>
  <c r="AJ37" i="35" s="1"/>
  <c r="H44" i="35"/>
  <c r="AJ44" i="35" s="1"/>
  <c r="H163" i="35"/>
  <c r="AJ163" i="35" s="1"/>
  <c r="H175" i="35"/>
  <c r="AJ175" i="35" s="1"/>
  <c r="H187" i="35"/>
  <c r="AJ187" i="35" s="1"/>
  <c r="H199" i="35"/>
  <c r="AJ199" i="35" s="1"/>
  <c r="H56" i="35"/>
  <c r="AJ56" i="35" s="1"/>
  <c r="H68" i="35"/>
  <c r="AJ68" i="35" s="1"/>
  <c r="H80" i="35"/>
  <c r="AJ80" i="35" s="1"/>
  <c r="H91" i="35"/>
  <c r="AJ91" i="35" s="1"/>
  <c r="H103" i="35"/>
  <c r="AJ103" i="35" s="1"/>
  <c r="H115" i="35"/>
  <c r="AJ115" i="35" s="1"/>
  <c r="H127" i="35"/>
  <c r="AJ127" i="35" s="1"/>
  <c r="H139" i="35"/>
  <c r="AJ139" i="35" s="1"/>
  <c r="H183" i="35"/>
  <c r="AJ183" i="35" s="1"/>
  <c r="H52" i="35"/>
  <c r="AJ52" i="35" s="1"/>
  <c r="H64" i="35"/>
  <c r="AJ64" i="35" s="1"/>
  <c r="H149" i="35"/>
  <c r="AJ149" i="35" s="1"/>
  <c r="H49" i="35"/>
  <c r="AJ49" i="35" s="1"/>
  <c r="H151" i="35"/>
  <c r="AJ151" i="35" s="1"/>
  <c r="H39" i="35"/>
  <c r="AJ39" i="35" s="1"/>
  <c r="H51" i="35"/>
  <c r="AJ51" i="35" s="1"/>
  <c r="H158" i="35"/>
  <c r="AJ158" i="35" s="1"/>
  <c r="H170" i="35"/>
  <c r="AJ170" i="35" s="1"/>
  <c r="H182" i="35"/>
  <c r="AJ182" i="35" s="1"/>
  <c r="H194" i="35"/>
  <c r="AJ194" i="35" s="1"/>
  <c r="H63" i="35"/>
  <c r="AJ63" i="35" s="1"/>
  <c r="H75" i="35"/>
  <c r="AJ75" i="35" s="1"/>
  <c r="H87" i="35"/>
  <c r="AJ87" i="35" s="1"/>
  <c r="H98" i="35"/>
  <c r="AJ98" i="35" s="1"/>
  <c r="H110" i="35"/>
  <c r="AJ110" i="35" s="1"/>
  <c r="H122" i="35"/>
  <c r="AJ122" i="35" s="1"/>
  <c r="H134" i="35"/>
  <c r="AJ134" i="35" s="1"/>
  <c r="H40" i="35"/>
  <c r="AJ40" i="35" s="1"/>
  <c r="H76" i="35"/>
  <c r="AJ76" i="35" s="1"/>
  <c r="H46" i="35"/>
  <c r="AJ46" i="35" s="1"/>
  <c r="H165" i="35"/>
  <c r="AJ165" i="35" s="1"/>
  <c r="H177" i="35"/>
  <c r="AJ177" i="35" s="1"/>
  <c r="H189" i="35"/>
  <c r="AJ189" i="35" s="1"/>
  <c r="H201" i="35"/>
  <c r="AJ201" i="35" s="1"/>
  <c r="H58" i="35"/>
  <c r="AJ58" i="35" s="1"/>
  <c r="H70" i="35"/>
  <c r="AJ70" i="35" s="1"/>
  <c r="H82" i="35"/>
  <c r="AJ82" i="35" s="1"/>
  <c r="H93" i="35"/>
  <c r="AJ93" i="35" s="1"/>
  <c r="H105" i="35"/>
  <c r="AJ105" i="35" s="1"/>
  <c r="H117" i="35"/>
  <c r="AJ117" i="35" s="1"/>
  <c r="H129" i="35"/>
  <c r="AJ129" i="35" s="1"/>
  <c r="H141" i="35"/>
  <c r="AJ141" i="35" s="1"/>
  <c r="H88" i="35"/>
  <c r="AJ88" i="35" s="1"/>
  <c r="H153" i="35"/>
  <c r="AJ153" i="35" s="1"/>
  <c r="H41" i="35"/>
  <c r="AJ41" i="35" s="1"/>
  <c r="H148" i="35"/>
  <c r="AJ148" i="35" s="1"/>
  <c r="H160" i="35"/>
  <c r="AJ160" i="35" s="1"/>
  <c r="H172" i="35"/>
  <c r="AJ172" i="35" s="1"/>
  <c r="H184" i="35"/>
  <c r="AJ184" i="35" s="1"/>
  <c r="H196" i="35"/>
  <c r="AJ196" i="35" s="1"/>
  <c r="H53" i="35"/>
  <c r="AJ53" i="35" s="1"/>
  <c r="H65" i="35"/>
  <c r="AJ65" i="35" s="1"/>
  <c r="H77" i="35"/>
  <c r="AJ77" i="35" s="1"/>
  <c r="H146" i="35"/>
  <c r="AJ146" i="35" s="1"/>
  <c r="H100" i="35"/>
  <c r="AJ100" i="35" s="1"/>
  <c r="H112" i="35"/>
  <c r="AJ112" i="35" s="1"/>
  <c r="H124" i="35"/>
  <c r="AJ124" i="35" s="1"/>
  <c r="H136" i="35"/>
  <c r="AJ136" i="35" s="1"/>
  <c r="H36" i="35"/>
  <c r="AJ36" i="35" s="1"/>
  <c r="H84" i="35"/>
  <c r="AJ84" i="35" s="1"/>
  <c r="H119" i="35"/>
  <c r="AJ119" i="35" s="1"/>
  <c r="H150" i="35"/>
  <c r="AJ150" i="35" s="1"/>
  <c r="H162" i="35"/>
  <c r="AJ162" i="35" s="1"/>
  <c r="H174" i="35"/>
  <c r="AJ174" i="35" s="1"/>
  <c r="H186" i="35"/>
  <c r="AJ186" i="35" s="1"/>
  <c r="H198" i="35"/>
  <c r="AJ198" i="35" s="1"/>
  <c r="H55" i="35"/>
  <c r="AJ55" i="35" s="1"/>
  <c r="H67" i="35"/>
  <c r="AJ67" i="35" s="1"/>
  <c r="H79" i="35"/>
  <c r="AJ79" i="35" s="1"/>
  <c r="H90" i="35"/>
  <c r="AJ90" i="35" s="1"/>
  <c r="H102" i="35"/>
  <c r="AJ102" i="35" s="1"/>
  <c r="H114" i="35"/>
  <c r="AJ114" i="35" s="1"/>
  <c r="H126" i="35"/>
  <c r="AJ126" i="35" s="1"/>
  <c r="H138" i="35"/>
  <c r="AJ138" i="35" s="1"/>
  <c r="H72" i="35"/>
  <c r="AJ72" i="35" s="1"/>
  <c r="H107" i="35"/>
  <c r="AJ107" i="35" s="1"/>
  <c r="H131" i="35"/>
  <c r="AJ131" i="35" s="1"/>
  <c r="H43" i="35"/>
  <c r="AJ43" i="35" s="1"/>
  <c r="H38" i="35"/>
  <c r="AJ38" i="35" s="1"/>
  <c r="H50" i="35"/>
  <c r="AJ50" i="35" s="1"/>
  <c r="H157" i="35"/>
  <c r="AJ157" i="35" s="1"/>
  <c r="H169" i="35"/>
  <c r="AJ169" i="35" s="1"/>
  <c r="H181" i="35"/>
  <c r="AJ181" i="35" s="1"/>
  <c r="H193" i="35"/>
  <c r="AJ193" i="35" s="1"/>
  <c r="H62" i="35"/>
  <c r="AJ62" i="35" s="1"/>
  <c r="H74" i="35"/>
  <c r="AJ74" i="35" s="1"/>
  <c r="H86" i="35"/>
  <c r="AJ86" i="35" s="1"/>
  <c r="H97" i="35"/>
  <c r="AJ97" i="35" s="1"/>
  <c r="H109" i="35"/>
  <c r="AJ109" i="35" s="1"/>
  <c r="H121" i="35"/>
  <c r="AJ121" i="35" s="1"/>
  <c r="H133" i="35"/>
  <c r="AJ133" i="35" s="1"/>
  <c r="H145" i="35"/>
  <c r="AJ145" i="35" s="1"/>
  <c r="H60" i="35"/>
  <c r="AJ60" i="35" s="1"/>
  <c r="H95" i="35"/>
  <c r="AJ95" i="35" s="1"/>
  <c r="H143" i="35"/>
  <c r="AJ143" i="35" s="1"/>
  <c r="H45" i="35"/>
  <c r="AJ45" i="35" s="1"/>
  <c r="H152" i="35"/>
  <c r="AJ152" i="35" s="1"/>
  <c r="H164" i="35"/>
  <c r="AJ164" i="35" s="1"/>
  <c r="H176" i="35"/>
  <c r="AJ176" i="35" s="1"/>
  <c r="H188" i="35"/>
  <c r="AJ188" i="35" s="1"/>
  <c r="H200" i="35"/>
  <c r="AJ200" i="35" s="1"/>
  <c r="H57" i="35"/>
  <c r="AJ57" i="35" s="1"/>
  <c r="H69" i="35"/>
  <c r="AJ69" i="35" s="1"/>
  <c r="H81" i="35"/>
  <c r="AJ81" i="35" s="1"/>
  <c r="H92" i="35"/>
  <c r="AJ92" i="35" s="1"/>
  <c r="H104" i="35"/>
  <c r="AJ104" i="35" s="1"/>
  <c r="H116" i="35"/>
  <c r="AJ116" i="35" s="1"/>
  <c r="H128" i="35"/>
  <c r="AJ128" i="35" s="1"/>
  <c r="AJ140" i="35"/>
  <c r="AJ155" i="35"/>
  <c r="AJ167" i="35"/>
  <c r="AJ179" i="35"/>
  <c r="AJ191" i="35"/>
  <c r="AJ203" i="35"/>
  <c r="AJ147" i="35"/>
  <c r="AI35" i="35"/>
  <c r="AI34" i="35"/>
  <c r="AI33" i="35"/>
  <c r="AI32" i="35"/>
  <c r="AI31" i="35"/>
  <c r="AI30" i="35"/>
  <c r="AI29" i="35"/>
  <c r="AI28" i="35"/>
  <c r="AI27" i="35"/>
  <c r="AI26" i="35"/>
  <c r="AI25" i="35"/>
  <c r="AI24" i="35"/>
  <c r="AI23" i="35"/>
  <c r="AI22" i="35"/>
  <c r="AI21" i="35"/>
  <c r="AI20" i="35"/>
  <c r="AI19" i="35"/>
  <c r="AI18" i="35"/>
  <c r="AI17" i="35"/>
  <c r="AI16" i="35"/>
  <c r="AI15" i="35"/>
  <c r="AI14" i="35"/>
  <c r="AI13" i="35"/>
  <c r="AI12" i="35"/>
  <c r="AI11" i="35"/>
  <c r="AI10" i="35"/>
  <c r="AI9" i="35"/>
  <c r="AI8" i="35"/>
  <c r="AI7" i="35"/>
  <c r="AI6" i="35"/>
  <c r="AI5" i="35"/>
  <c r="AH35" i="35"/>
  <c r="AH34" i="35"/>
  <c r="AH33" i="35"/>
  <c r="AH32" i="35"/>
  <c r="AH31" i="35"/>
  <c r="AH30" i="35"/>
  <c r="AH29" i="35"/>
  <c r="AH28" i="35"/>
  <c r="AH27" i="35"/>
  <c r="AH26" i="35"/>
  <c r="AH25" i="35"/>
  <c r="AH24" i="35"/>
  <c r="AH23" i="35"/>
  <c r="AH22" i="35"/>
  <c r="AH21" i="35"/>
  <c r="AH20" i="35"/>
  <c r="AH19" i="35"/>
  <c r="AH18" i="35"/>
  <c r="AH17" i="35"/>
  <c r="AH16" i="35"/>
  <c r="AH15" i="35"/>
  <c r="AH14" i="35"/>
  <c r="AH13" i="35"/>
  <c r="AH12" i="35"/>
  <c r="AH11" i="35"/>
  <c r="AH10" i="35"/>
  <c r="AH9" i="35"/>
  <c r="AH8" i="35"/>
  <c r="AH7" i="35"/>
  <c r="AH6" i="35"/>
  <c r="AH5" i="35"/>
  <c r="AG35" i="35"/>
  <c r="AG34" i="35"/>
  <c r="AG33" i="35"/>
  <c r="AG32" i="35"/>
  <c r="AG31" i="35"/>
  <c r="AG30" i="35"/>
  <c r="AG29" i="35"/>
  <c r="AG28" i="35"/>
  <c r="AG27" i="35"/>
  <c r="AG26" i="35"/>
  <c r="AG25" i="35"/>
  <c r="AG24" i="35"/>
  <c r="AG23" i="35"/>
  <c r="AG22" i="35"/>
  <c r="AG21" i="35"/>
  <c r="AG20" i="35"/>
  <c r="AG19" i="35"/>
  <c r="AG18" i="35"/>
  <c r="AG17" i="35"/>
  <c r="AG16" i="35"/>
  <c r="AG15" i="35"/>
  <c r="AG14" i="35"/>
  <c r="AG13" i="35"/>
  <c r="AG12" i="35"/>
  <c r="AG11" i="35"/>
  <c r="AG10" i="35"/>
  <c r="AG9" i="35"/>
  <c r="AG8" i="35"/>
  <c r="AG7" i="35"/>
  <c r="AG6" i="35"/>
  <c r="AG5" i="35"/>
  <c r="AF35" i="35"/>
  <c r="AF34" i="35"/>
  <c r="AF33" i="35"/>
  <c r="AF32" i="35"/>
  <c r="AF31" i="35"/>
  <c r="AF30" i="35"/>
  <c r="AF29" i="35"/>
  <c r="AF28" i="35"/>
  <c r="AF27" i="35"/>
  <c r="AF26" i="35"/>
  <c r="AF25" i="35"/>
  <c r="AF24" i="35"/>
  <c r="AF23" i="35"/>
  <c r="AF22" i="35"/>
  <c r="AF21" i="35"/>
  <c r="AF20" i="35"/>
  <c r="AF19" i="35"/>
  <c r="AF18" i="35"/>
  <c r="AF17" i="35"/>
  <c r="AF16" i="35"/>
  <c r="AF15" i="35"/>
  <c r="AF14" i="35"/>
  <c r="AF13" i="35"/>
  <c r="AF12" i="35"/>
  <c r="AF11" i="35"/>
  <c r="AF10" i="35"/>
  <c r="AF9" i="35"/>
  <c r="AF8" i="35"/>
  <c r="AF7" i="35"/>
  <c r="AF6" i="35"/>
  <c r="AF5" i="35"/>
  <c r="AE35" i="35"/>
  <c r="AE34" i="35"/>
  <c r="AE33" i="35"/>
  <c r="AE32" i="35"/>
  <c r="AE31" i="35"/>
  <c r="AE30" i="35"/>
  <c r="AE29" i="35"/>
  <c r="AE28" i="35"/>
  <c r="AE27" i="35"/>
  <c r="AE26" i="35"/>
  <c r="AE25" i="35"/>
  <c r="AE24" i="35"/>
  <c r="AE23" i="35"/>
  <c r="AE22" i="35"/>
  <c r="AE21" i="35"/>
  <c r="AE20" i="35"/>
  <c r="AE19" i="35"/>
  <c r="AE18" i="35"/>
  <c r="AE17" i="35"/>
  <c r="AE16" i="35"/>
  <c r="AE15" i="35"/>
  <c r="AE14" i="35"/>
  <c r="AE13" i="35"/>
  <c r="AE12" i="35"/>
  <c r="AE11" i="35"/>
  <c r="AE10" i="35"/>
  <c r="AE9" i="35"/>
  <c r="AE8" i="35"/>
  <c r="AE7" i="35"/>
  <c r="AE6" i="35"/>
  <c r="AE5" i="35"/>
  <c r="AD35" i="35"/>
  <c r="AD34" i="35"/>
  <c r="AD33" i="35"/>
  <c r="AD32" i="35"/>
  <c r="AD31" i="35"/>
  <c r="AD30" i="35"/>
  <c r="AD29" i="35"/>
  <c r="AD28" i="35"/>
  <c r="AD27" i="35"/>
  <c r="AD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C35" i="35"/>
  <c r="AC34" i="35"/>
  <c r="AC33" i="35"/>
  <c r="AC32" i="35"/>
  <c r="AC31" i="35"/>
  <c r="AC30" i="35"/>
  <c r="AC29" i="35"/>
  <c r="AC28" i="35"/>
  <c r="AC27" i="35"/>
  <c r="AC26" i="35"/>
  <c r="AC25" i="35"/>
  <c r="AC24" i="35"/>
  <c r="AC23" i="35"/>
  <c r="AC22" i="35"/>
  <c r="AC21" i="35"/>
  <c r="AC20" i="35"/>
  <c r="AC19" i="35"/>
  <c r="AC18" i="35"/>
  <c r="AC17" i="35"/>
  <c r="AC16" i="35"/>
  <c r="AC15" i="35"/>
  <c r="AC14" i="35"/>
  <c r="AC13" i="35"/>
  <c r="AC12" i="35"/>
  <c r="AC11" i="35"/>
  <c r="AC10" i="35"/>
  <c r="AC9" i="35"/>
  <c r="AC8" i="35"/>
  <c r="AC7" i="35"/>
  <c r="AC6" i="35"/>
  <c r="AC5" i="35"/>
  <c r="AB35" i="35"/>
  <c r="AB34" i="35"/>
  <c r="AB33" i="35"/>
  <c r="AB32" i="35"/>
  <c r="AB31" i="35"/>
  <c r="AB30" i="35"/>
  <c r="AB29" i="35"/>
  <c r="AB28" i="35"/>
  <c r="AB27" i="35"/>
  <c r="AB26" i="35"/>
  <c r="AB25" i="35"/>
  <c r="AB24" i="35"/>
  <c r="AB23" i="35"/>
  <c r="AB22" i="35"/>
  <c r="AB21" i="35"/>
  <c r="AB20" i="35"/>
  <c r="AB19" i="35"/>
  <c r="AB18" i="35"/>
  <c r="AB17" i="35"/>
  <c r="AB16" i="35"/>
  <c r="AB15" i="35"/>
  <c r="AB14" i="35"/>
  <c r="AB13" i="35"/>
  <c r="AB12" i="35"/>
  <c r="AB11" i="35"/>
  <c r="AB10" i="35"/>
  <c r="AB9" i="35"/>
  <c r="AB8" i="35"/>
  <c r="AB7" i="35"/>
  <c r="AB6" i="35"/>
  <c r="AB5" i="35"/>
  <c r="AA35" i="35"/>
  <c r="AA34" i="35"/>
  <c r="AA33" i="35"/>
  <c r="AA32" i="35"/>
  <c r="AA31" i="35"/>
  <c r="AA30" i="35"/>
  <c r="AA29" i="35"/>
  <c r="AA28" i="35"/>
  <c r="AA27" i="35"/>
  <c r="AA26" i="35"/>
  <c r="AA25" i="35"/>
  <c r="AA24" i="35"/>
  <c r="AA23" i="35"/>
  <c r="AA22" i="35"/>
  <c r="AA21" i="35"/>
  <c r="AA20" i="35"/>
  <c r="AA19" i="35"/>
  <c r="AA18" i="35"/>
  <c r="AA17" i="35"/>
  <c r="AA16" i="35"/>
  <c r="AA15" i="35"/>
  <c r="AA14" i="35"/>
  <c r="AA13" i="35"/>
  <c r="AA12" i="35"/>
  <c r="AA11" i="35"/>
  <c r="AA10" i="35"/>
  <c r="AA9" i="35"/>
  <c r="AA8" i="35"/>
  <c r="AA7" i="35"/>
  <c r="AA6" i="35"/>
  <c r="AA5" i="35"/>
  <c r="Z35" i="35"/>
  <c r="Z34" i="35"/>
  <c r="Z33" i="35"/>
  <c r="Z32" i="35"/>
  <c r="Z31" i="35"/>
  <c r="Z30" i="35"/>
  <c r="Z29" i="35"/>
  <c r="Z28" i="35"/>
  <c r="Z27" i="35"/>
  <c r="Z26" i="35"/>
  <c r="Z25" i="35"/>
  <c r="Z24" i="35"/>
  <c r="Z23" i="35"/>
  <c r="Z22" i="35"/>
  <c r="Z21" i="35"/>
  <c r="Z20" i="35"/>
  <c r="Z19" i="35"/>
  <c r="Z18" i="35"/>
  <c r="Z17" i="35"/>
  <c r="Z16" i="35"/>
  <c r="Z15" i="35"/>
  <c r="Z14" i="35"/>
  <c r="Z13" i="35"/>
  <c r="Z12" i="35"/>
  <c r="Z11" i="35"/>
  <c r="Z10" i="35"/>
  <c r="Z9" i="35"/>
  <c r="Z8" i="35"/>
  <c r="Z7" i="35"/>
  <c r="Z6" i="35"/>
  <c r="Z5" i="35"/>
  <c r="Y35" i="35"/>
  <c r="Y34" i="35"/>
  <c r="Y33" i="35"/>
  <c r="Y32" i="35"/>
  <c r="Y31" i="35"/>
  <c r="Y30" i="35"/>
  <c r="Y29" i="35"/>
  <c r="Y28" i="35"/>
  <c r="Y27" i="35"/>
  <c r="Y26" i="35"/>
  <c r="Y25" i="35"/>
  <c r="Y24" i="35"/>
  <c r="Y23" i="35"/>
  <c r="Y22" i="35"/>
  <c r="Y21" i="35"/>
  <c r="Y20" i="35"/>
  <c r="Y19" i="35"/>
  <c r="Y18" i="35"/>
  <c r="Y17" i="35"/>
  <c r="Y16" i="35"/>
  <c r="Y15" i="35"/>
  <c r="Y14" i="35"/>
  <c r="Y13" i="35"/>
  <c r="Y12" i="35"/>
  <c r="Y11" i="35"/>
  <c r="Y10" i="35"/>
  <c r="Y9" i="35"/>
  <c r="Y8" i="35"/>
  <c r="Y7" i="35"/>
  <c r="Y6" i="35"/>
  <c r="Y5" i="35"/>
  <c r="X35" i="35"/>
  <c r="X34" i="35"/>
  <c r="X33" i="35"/>
  <c r="X32" i="35"/>
  <c r="X31" i="35"/>
  <c r="X30" i="35"/>
  <c r="X29" i="35"/>
  <c r="X28" i="35"/>
  <c r="X27" i="35"/>
  <c r="X26" i="35"/>
  <c r="X25" i="35"/>
  <c r="X24" i="35"/>
  <c r="X23" i="35"/>
  <c r="X22" i="35"/>
  <c r="X21" i="35"/>
  <c r="X20" i="35"/>
  <c r="X19" i="35"/>
  <c r="X18" i="35"/>
  <c r="X17" i="35"/>
  <c r="X16" i="35"/>
  <c r="X15" i="35"/>
  <c r="X14" i="35"/>
  <c r="X13" i="35"/>
  <c r="X12" i="35"/>
  <c r="X11" i="35"/>
  <c r="X10" i="35"/>
  <c r="X9" i="35"/>
  <c r="X8" i="35"/>
  <c r="X7" i="35"/>
  <c r="X6" i="35"/>
  <c r="X5" i="35"/>
  <c r="W35" i="35"/>
  <c r="W34" i="35"/>
  <c r="W33" i="35"/>
  <c r="W32" i="35"/>
  <c r="W31" i="35"/>
  <c r="W30" i="35"/>
  <c r="W29" i="35"/>
  <c r="W28" i="35"/>
  <c r="W27" i="35"/>
  <c r="W26" i="35"/>
  <c r="W25" i="35"/>
  <c r="W24" i="35"/>
  <c r="W23" i="35"/>
  <c r="W22" i="35"/>
  <c r="W21" i="35"/>
  <c r="W20" i="35"/>
  <c r="W19" i="35"/>
  <c r="W18" i="35"/>
  <c r="W17" i="35"/>
  <c r="W16" i="35"/>
  <c r="W15" i="35"/>
  <c r="W14" i="35"/>
  <c r="W13" i="35"/>
  <c r="W12" i="35"/>
  <c r="W11" i="35"/>
  <c r="W10" i="35"/>
  <c r="W9" i="35"/>
  <c r="W8" i="35"/>
  <c r="W7" i="35"/>
  <c r="W6" i="35"/>
  <c r="W5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V7" i="35"/>
  <c r="V6" i="35"/>
  <c r="V5" i="35"/>
  <c r="U35" i="35"/>
  <c r="U34" i="35"/>
  <c r="U33" i="35"/>
  <c r="U32" i="35"/>
  <c r="U31" i="35"/>
  <c r="U30" i="35"/>
  <c r="U29" i="35"/>
  <c r="U28" i="35"/>
  <c r="U27" i="35"/>
  <c r="U26" i="35"/>
  <c r="U25" i="35"/>
  <c r="U24" i="35"/>
  <c r="U2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7" i="35"/>
  <c r="U6" i="35"/>
  <c r="U5" i="35"/>
  <c r="T35" i="35"/>
  <c r="T34" i="35"/>
  <c r="T33" i="35"/>
  <c r="T32" i="35"/>
  <c r="T31" i="35"/>
  <c r="T30" i="35"/>
  <c r="T29" i="35"/>
  <c r="T28" i="35"/>
  <c r="T27" i="35"/>
  <c r="T26" i="35"/>
  <c r="T25" i="35"/>
  <c r="T24" i="35"/>
  <c r="T23" i="35"/>
  <c r="T22" i="35"/>
  <c r="T21" i="35"/>
  <c r="T20" i="35"/>
  <c r="T19" i="35"/>
  <c r="T18" i="35"/>
  <c r="T17" i="35"/>
  <c r="T16" i="35"/>
  <c r="T15" i="35"/>
  <c r="T14" i="35"/>
  <c r="T13" i="35"/>
  <c r="T12" i="35"/>
  <c r="T11" i="35"/>
  <c r="T10" i="35"/>
  <c r="T9" i="35"/>
  <c r="T8" i="35"/>
  <c r="T7" i="35"/>
  <c r="T6" i="35"/>
  <c r="T5" i="35"/>
  <c r="S35" i="35"/>
  <c r="S34" i="35"/>
  <c r="S33" i="35"/>
  <c r="S32" i="35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R35" i="35"/>
  <c r="R34" i="35"/>
  <c r="R33" i="35"/>
  <c r="R32" i="35"/>
  <c r="R31" i="35"/>
  <c r="R30" i="35"/>
  <c r="R29" i="35"/>
  <c r="R28" i="35"/>
  <c r="R27" i="35"/>
  <c r="R26" i="35"/>
  <c r="R25" i="35"/>
  <c r="R24" i="35"/>
  <c r="R23" i="35"/>
  <c r="R22" i="35"/>
  <c r="R21" i="35"/>
  <c r="R20" i="35"/>
  <c r="R19" i="35"/>
  <c r="R18" i="35"/>
  <c r="R17" i="35"/>
  <c r="R16" i="35"/>
  <c r="R15" i="35"/>
  <c r="R14" i="35"/>
  <c r="R13" i="35"/>
  <c r="R12" i="35"/>
  <c r="R11" i="35"/>
  <c r="R10" i="35"/>
  <c r="R9" i="35"/>
  <c r="R8" i="35"/>
  <c r="R7" i="35"/>
  <c r="R6" i="35"/>
  <c r="R5" i="35"/>
  <c r="Q35" i="35"/>
  <c r="Q34" i="35"/>
  <c r="Q33" i="35"/>
  <c r="Q32" i="35"/>
  <c r="Q31" i="35"/>
  <c r="Q30" i="35"/>
  <c r="Q29" i="35"/>
  <c r="Q28" i="35"/>
  <c r="Q27" i="35"/>
  <c r="Q26" i="35"/>
  <c r="Q25" i="35"/>
  <c r="Q24" i="35"/>
  <c r="Q23" i="35"/>
  <c r="Q22" i="35"/>
  <c r="Q21" i="35"/>
  <c r="Q20" i="35"/>
  <c r="Q19" i="35"/>
  <c r="Q18" i="35"/>
  <c r="Q17" i="35"/>
  <c r="Q16" i="35"/>
  <c r="Q15" i="35"/>
  <c r="Q14" i="35"/>
  <c r="Q13" i="35"/>
  <c r="Q12" i="35"/>
  <c r="Q11" i="35"/>
  <c r="Q10" i="35"/>
  <c r="Q9" i="35"/>
  <c r="Q8" i="35"/>
  <c r="Q7" i="35"/>
  <c r="Q6" i="35"/>
  <c r="Q5" i="35"/>
  <c r="P35" i="35"/>
  <c r="P34" i="35"/>
  <c r="P33" i="35"/>
  <c r="P32" i="35"/>
  <c r="P31" i="35"/>
  <c r="P30" i="35"/>
  <c r="P29" i="35"/>
  <c r="P28" i="35"/>
  <c r="P27" i="35"/>
  <c r="P26" i="35"/>
  <c r="P25" i="35"/>
  <c r="P24" i="35"/>
  <c r="P23" i="35"/>
  <c r="P22" i="35"/>
  <c r="P21" i="35"/>
  <c r="P20" i="35"/>
  <c r="P19" i="35"/>
  <c r="P18" i="35"/>
  <c r="P17" i="35"/>
  <c r="P16" i="35"/>
  <c r="P15" i="35"/>
  <c r="P14" i="35"/>
  <c r="P13" i="35"/>
  <c r="P12" i="35"/>
  <c r="P11" i="35"/>
  <c r="P10" i="35"/>
  <c r="P9" i="35"/>
  <c r="P8" i="35"/>
  <c r="P7" i="35"/>
  <c r="P6" i="35"/>
  <c r="P5" i="35"/>
  <c r="O35" i="35"/>
  <c r="O34" i="35"/>
  <c r="O33" i="35"/>
  <c r="O32" i="35"/>
  <c r="O31" i="35"/>
  <c r="O30" i="35"/>
  <c r="O29" i="35"/>
  <c r="O28" i="35"/>
  <c r="O27" i="35"/>
  <c r="O26" i="35"/>
  <c r="O25" i="35"/>
  <c r="O24" i="35"/>
  <c r="O23" i="35"/>
  <c r="O22" i="35"/>
  <c r="O21" i="35"/>
  <c r="O20" i="35"/>
  <c r="O19" i="35"/>
  <c r="O18" i="35"/>
  <c r="O17" i="35"/>
  <c r="O16" i="35"/>
  <c r="O15" i="35"/>
  <c r="O14" i="35"/>
  <c r="O13" i="35"/>
  <c r="O12" i="35"/>
  <c r="O11" i="35"/>
  <c r="O10" i="35"/>
  <c r="O9" i="35"/>
  <c r="O8" i="35"/>
  <c r="O7" i="35"/>
  <c r="O6" i="35"/>
  <c r="O5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7" i="35"/>
  <c r="N6" i="35"/>
  <c r="N5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L35" i="35"/>
  <c r="L34" i="35"/>
  <c r="L33" i="35"/>
  <c r="L32" i="35"/>
  <c r="L31" i="35"/>
  <c r="L30" i="35"/>
  <c r="L29" i="35"/>
  <c r="L28" i="35"/>
  <c r="L27" i="35"/>
  <c r="L26" i="35"/>
  <c r="L25" i="35"/>
  <c r="L24" i="35"/>
  <c r="L23" i="35"/>
  <c r="L22" i="35"/>
  <c r="L21" i="35"/>
  <c r="L20" i="35"/>
  <c r="L19" i="35"/>
  <c r="L18" i="35"/>
  <c r="L17" i="35"/>
  <c r="L16" i="35"/>
  <c r="L15" i="35"/>
  <c r="L14" i="35"/>
  <c r="L13" i="35"/>
  <c r="L12" i="35"/>
  <c r="L11" i="35"/>
  <c r="L10" i="35"/>
  <c r="L9" i="35"/>
  <c r="L8" i="35"/>
  <c r="L7" i="35"/>
  <c r="L6" i="35"/>
  <c r="L5" i="35"/>
  <c r="K35" i="35"/>
  <c r="K34" i="35"/>
  <c r="K33" i="35"/>
  <c r="K32" i="35"/>
  <c r="K31" i="35"/>
  <c r="K30" i="35"/>
  <c r="K29" i="35"/>
  <c r="K28" i="35"/>
  <c r="K27" i="35"/>
  <c r="K26" i="35"/>
  <c r="K25" i="35"/>
  <c r="K24" i="35"/>
  <c r="K23" i="35"/>
  <c r="K22" i="35"/>
  <c r="K21" i="35"/>
  <c r="K20" i="35"/>
  <c r="K19" i="35"/>
  <c r="K18" i="35"/>
  <c r="K17" i="35"/>
  <c r="K16" i="35"/>
  <c r="K15" i="35"/>
  <c r="K14" i="35"/>
  <c r="K13" i="35"/>
  <c r="K12" i="35"/>
  <c r="K11" i="35"/>
  <c r="K10" i="35"/>
  <c r="K9" i="35"/>
  <c r="K8" i="35"/>
  <c r="K7" i="35"/>
  <c r="K6" i="35"/>
  <c r="K5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I35" i="35"/>
  <c r="I34" i="35"/>
  <c r="I33" i="35"/>
  <c r="I32" i="35"/>
  <c r="I31" i="35"/>
  <c r="I30" i="35"/>
  <c r="I29" i="35"/>
  <c r="I28" i="35"/>
  <c r="I27" i="35"/>
  <c r="I26" i="35"/>
  <c r="I25" i="35"/>
  <c r="I24" i="35"/>
  <c r="I23" i="35"/>
  <c r="I22" i="35"/>
  <c r="I21" i="35"/>
  <c r="I20" i="35"/>
  <c r="I19" i="35"/>
  <c r="I18" i="35"/>
  <c r="I17" i="35"/>
  <c r="I16" i="35"/>
  <c r="I15" i="35"/>
  <c r="I14" i="35"/>
  <c r="I13" i="35"/>
  <c r="I12" i="35"/>
  <c r="I11" i="35"/>
  <c r="I10" i="35"/>
  <c r="I9" i="35"/>
  <c r="I8" i="35"/>
  <c r="I7" i="35"/>
  <c r="I6" i="35"/>
  <c r="I5" i="35"/>
  <c r="H35" i="35"/>
  <c r="H34" i="35"/>
  <c r="H33" i="35"/>
  <c r="H32" i="35"/>
  <c r="H31" i="35"/>
  <c r="H30" i="35"/>
  <c r="H29" i="35"/>
  <c r="H28" i="35"/>
  <c r="H27" i="35"/>
  <c r="H26" i="35"/>
  <c r="H25" i="35"/>
  <c r="H24" i="35"/>
  <c r="H23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H5" i="35"/>
  <c r="G35" i="35"/>
  <c r="G34" i="35"/>
  <c r="G33" i="35"/>
  <c r="G32" i="35"/>
  <c r="G31" i="35"/>
  <c r="G30" i="35"/>
  <c r="G29" i="35"/>
  <c r="G28" i="35"/>
  <c r="G27" i="35"/>
  <c r="G26" i="35"/>
  <c r="G25" i="35"/>
  <c r="G24" i="35"/>
  <c r="G23" i="35"/>
  <c r="G22" i="35"/>
  <c r="G21" i="35"/>
  <c r="G20" i="35"/>
  <c r="G19" i="35"/>
  <c r="G18" i="35"/>
  <c r="G17" i="35"/>
  <c r="G16" i="35"/>
  <c r="G15" i="35"/>
  <c r="G14" i="35"/>
  <c r="G13" i="35"/>
  <c r="G12" i="35"/>
  <c r="G11" i="35"/>
  <c r="G10" i="35"/>
  <c r="G9" i="35"/>
  <c r="G8" i="35"/>
  <c r="G7" i="35"/>
  <c r="G6" i="35"/>
  <c r="G5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I12" i="72"/>
  <c r="I12" i="79"/>
  <c r="I12" i="82"/>
  <c r="I12" i="84"/>
  <c r="I12" i="90"/>
  <c r="I12" i="91"/>
  <c r="I11" i="78"/>
  <c r="I11" i="79"/>
  <c r="I11" i="89"/>
  <c r="I11" i="90"/>
  <c r="I11" i="91"/>
  <c r="I11" i="92"/>
  <c r="I10" i="72"/>
  <c r="I10" i="75"/>
  <c r="I10" i="79"/>
  <c r="I10" i="81"/>
  <c r="I10" i="84"/>
  <c r="I10" i="87"/>
  <c r="I10" i="90"/>
  <c r="I10" i="91"/>
  <c r="I10" i="93"/>
  <c r="I10" i="94"/>
  <c r="I10" i="96"/>
  <c r="I9" i="71"/>
  <c r="I9" i="72"/>
  <c r="I9" i="73"/>
  <c r="I9" i="75"/>
  <c r="I9" i="77"/>
  <c r="I9" i="79"/>
  <c r="I9" i="81"/>
  <c r="I9" i="82"/>
  <c r="I9" i="84"/>
  <c r="I9" i="85"/>
  <c r="I9" i="89"/>
  <c r="I9" i="90"/>
  <c r="I9" i="91"/>
  <c r="I9" i="92"/>
  <c r="I9" i="93"/>
  <c r="I9" i="94"/>
  <c r="I9" i="96"/>
  <c r="I9" i="97"/>
  <c r="I8" i="71"/>
  <c r="I8" i="72"/>
  <c r="I8" i="73"/>
  <c r="I8" i="75"/>
  <c r="I8" i="77"/>
  <c r="I8" i="78"/>
  <c r="I8" i="79"/>
  <c r="I8" i="80"/>
  <c r="I8" i="81"/>
  <c r="I8" i="83"/>
  <c r="I8" i="85"/>
  <c r="I8" i="89"/>
  <c r="I8" i="90"/>
  <c r="I8" i="91"/>
  <c r="I8" i="92"/>
  <c r="I8" i="93"/>
  <c r="I8" i="97"/>
  <c r="C13" i="71"/>
  <c r="C13" i="75"/>
  <c r="C13" i="77"/>
  <c r="C13" i="97"/>
  <c r="C12" i="71"/>
  <c r="C12" i="77"/>
  <c r="C11" i="77"/>
  <c r="C11" i="97"/>
  <c r="C10" i="71"/>
  <c r="C10" i="77"/>
  <c r="C9" i="71"/>
  <c r="C9" i="77"/>
  <c r="C8" i="71"/>
  <c r="C8" i="75"/>
  <c r="C8" i="77"/>
  <c r="C8" i="68"/>
  <c r="A19" i="97"/>
  <c r="A20" i="97" s="1"/>
  <c r="A21" i="97" s="1"/>
  <c r="A22" i="97" s="1"/>
  <c r="A23" i="97" s="1"/>
  <c r="A24" i="97" s="1"/>
  <c r="A25" i="97" s="1"/>
  <c r="A26" i="97" s="1"/>
  <c r="A27" i="97" s="1"/>
  <c r="A28" i="97" s="1"/>
  <c r="A29" i="97" s="1"/>
  <c r="A30" i="97" s="1"/>
  <c r="A31" i="97" s="1"/>
  <c r="A32" i="97" s="1"/>
  <c r="A33" i="97" s="1"/>
  <c r="A34" i="97" s="1"/>
  <c r="A35" i="97" s="1"/>
  <c r="A36" i="97" s="1"/>
  <c r="A37" i="97" s="1"/>
  <c r="A38" i="97" s="1"/>
  <c r="A39" i="97" s="1"/>
  <c r="A40" i="97" s="1"/>
  <c r="A41" i="97" s="1"/>
  <c r="A42" i="97" s="1"/>
  <c r="A43" i="97" s="1"/>
  <c r="A44" i="97" s="1"/>
  <c r="A45" i="97" s="1"/>
  <c r="A46" i="97" s="1"/>
  <c r="A47" i="97" s="1"/>
  <c r="G19" i="97" s="1"/>
  <c r="G20" i="97" s="1"/>
  <c r="G21" i="97" s="1"/>
  <c r="G22" i="97" s="1"/>
  <c r="G23" i="97" s="1"/>
  <c r="G24" i="97" s="1"/>
  <c r="G25" i="97" s="1"/>
  <c r="G26" i="97" s="1"/>
  <c r="G27" i="97" s="1"/>
  <c r="G28" i="97" s="1"/>
  <c r="G29" i="97" s="1"/>
  <c r="G30" i="97" s="1"/>
  <c r="G31" i="97" s="1"/>
  <c r="G32" i="97" s="1"/>
  <c r="G33" i="97" s="1"/>
  <c r="G34" i="97" s="1"/>
  <c r="G35" i="97" s="1"/>
  <c r="G36" i="97" s="1"/>
  <c r="G37" i="97" s="1"/>
  <c r="G38" i="97" s="1"/>
  <c r="G39" i="97" s="1"/>
  <c r="G40" i="97" s="1"/>
  <c r="G41" i="97" s="1"/>
  <c r="G42" i="97" s="1"/>
  <c r="G43" i="97" s="1"/>
  <c r="G44" i="97" s="1"/>
  <c r="G45" i="97" s="1"/>
  <c r="G46" i="97" s="1"/>
  <c r="G47" i="97" s="1"/>
  <c r="I12" i="97"/>
  <c r="I11" i="97"/>
  <c r="I10" i="97"/>
  <c r="A19" i="96"/>
  <c r="A20" i="96" s="1"/>
  <c r="A21" i="96" s="1"/>
  <c r="A22" i="96" s="1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A43" i="96" s="1"/>
  <c r="A44" i="96" s="1"/>
  <c r="A45" i="96" s="1"/>
  <c r="A46" i="96" s="1"/>
  <c r="A47" i="96" s="1"/>
  <c r="G19" i="96" s="1"/>
  <c r="G20" i="96" s="1"/>
  <c r="G21" i="96" s="1"/>
  <c r="G22" i="96" s="1"/>
  <c r="G23" i="96" s="1"/>
  <c r="G24" i="96" s="1"/>
  <c r="G25" i="96" s="1"/>
  <c r="G26" i="96" s="1"/>
  <c r="G27" i="96" s="1"/>
  <c r="G28" i="96" s="1"/>
  <c r="G29" i="96" s="1"/>
  <c r="G30" i="96" s="1"/>
  <c r="G31" i="96" s="1"/>
  <c r="G32" i="96" s="1"/>
  <c r="G33" i="96" s="1"/>
  <c r="G34" i="96" s="1"/>
  <c r="G35" i="96" s="1"/>
  <c r="G36" i="96" s="1"/>
  <c r="G37" i="96" s="1"/>
  <c r="G38" i="96" s="1"/>
  <c r="G39" i="96" s="1"/>
  <c r="G40" i="96" s="1"/>
  <c r="G41" i="96" s="1"/>
  <c r="G42" i="96" s="1"/>
  <c r="G43" i="96" s="1"/>
  <c r="G44" i="96" s="1"/>
  <c r="G45" i="96" s="1"/>
  <c r="G46" i="96" s="1"/>
  <c r="G47" i="96" s="1"/>
  <c r="I12" i="96"/>
  <c r="I11" i="96"/>
  <c r="I8" i="96"/>
  <c r="A19" i="95"/>
  <c r="A20" i="95" s="1"/>
  <c r="A21" i="95" s="1"/>
  <c r="A22" i="95" s="1"/>
  <c r="A23" i="95" s="1"/>
  <c r="A24" i="95" s="1"/>
  <c r="A25" i="95" s="1"/>
  <c r="A26" i="95" s="1"/>
  <c r="A27" i="95" s="1"/>
  <c r="A28" i="95" s="1"/>
  <c r="A29" i="95" s="1"/>
  <c r="A30" i="95" s="1"/>
  <c r="A31" i="95" s="1"/>
  <c r="A32" i="95" s="1"/>
  <c r="A33" i="95" s="1"/>
  <c r="A34" i="95" s="1"/>
  <c r="A35" i="95" s="1"/>
  <c r="A36" i="95" s="1"/>
  <c r="A37" i="95" s="1"/>
  <c r="A38" i="95" s="1"/>
  <c r="A39" i="95" s="1"/>
  <c r="A40" i="95" s="1"/>
  <c r="A41" i="95" s="1"/>
  <c r="A42" i="95" s="1"/>
  <c r="A43" i="95" s="1"/>
  <c r="A44" i="95" s="1"/>
  <c r="A45" i="95" s="1"/>
  <c r="A46" i="95" s="1"/>
  <c r="A47" i="95" s="1"/>
  <c r="G19" i="95" s="1"/>
  <c r="G20" i="95" s="1"/>
  <c r="G21" i="95" s="1"/>
  <c r="G22" i="95" s="1"/>
  <c r="G23" i="95" s="1"/>
  <c r="G24" i="95" s="1"/>
  <c r="G25" i="95" s="1"/>
  <c r="G26" i="95" s="1"/>
  <c r="G27" i="95" s="1"/>
  <c r="G28" i="95" s="1"/>
  <c r="G29" i="95" s="1"/>
  <c r="G30" i="95" s="1"/>
  <c r="G31" i="95" s="1"/>
  <c r="G32" i="95" s="1"/>
  <c r="G33" i="95" s="1"/>
  <c r="G34" i="95" s="1"/>
  <c r="G35" i="95" s="1"/>
  <c r="G36" i="95" s="1"/>
  <c r="G37" i="95" s="1"/>
  <c r="G38" i="95" s="1"/>
  <c r="G39" i="95" s="1"/>
  <c r="G40" i="95" s="1"/>
  <c r="G41" i="95" s="1"/>
  <c r="G42" i="95" s="1"/>
  <c r="G43" i="95" s="1"/>
  <c r="G44" i="95" s="1"/>
  <c r="G45" i="95" s="1"/>
  <c r="G46" i="95" s="1"/>
  <c r="G47" i="95" s="1"/>
  <c r="I12" i="95"/>
  <c r="I11" i="95"/>
  <c r="I10" i="95"/>
  <c r="I9" i="95"/>
  <c r="A19" i="94"/>
  <c r="A20" i="94" s="1"/>
  <c r="A21" i="94" s="1"/>
  <c r="A22" i="94" s="1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G19" i="94" s="1"/>
  <c r="G20" i="94" s="1"/>
  <c r="G21" i="94" s="1"/>
  <c r="G22" i="94" s="1"/>
  <c r="G23" i="94" s="1"/>
  <c r="G24" i="94" s="1"/>
  <c r="G25" i="94" s="1"/>
  <c r="G26" i="94" s="1"/>
  <c r="G27" i="94" s="1"/>
  <c r="G28" i="94" s="1"/>
  <c r="G29" i="94" s="1"/>
  <c r="G30" i="94" s="1"/>
  <c r="G31" i="94" s="1"/>
  <c r="G32" i="94" s="1"/>
  <c r="G33" i="94" s="1"/>
  <c r="G34" i="94" s="1"/>
  <c r="G35" i="94" s="1"/>
  <c r="G36" i="94" s="1"/>
  <c r="G37" i="94" s="1"/>
  <c r="G38" i="94" s="1"/>
  <c r="G39" i="94" s="1"/>
  <c r="G40" i="94" s="1"/>
  <c r="G41" i="94" s="1"/>
  <c r="G42" i="94" s="1"/>
  <c r="G43" i="94" s="1"/>
  <c r="G44" i="94" s="1"/>
  <c r="G45" i="94" s="1"/>
  <c r="G46" i="94" s="1"/>
  <c r="G47" i="94" s="1"/>
  <c r="I12" i="94"/>
  <c r="I11" i="94"/>
  <c r="I8" i="94"/>
  <c r="A19" i="93"/>
  <c r="A20" i="93" s="1"/>
  <c r="A21" i="93" s="1"/>
  <c r="A22" i="93" s="1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A43" i="93" s="1"/>
  <c r="A44" i="93" s="1"/>
  <c r="A45" i="93" s="1"/>
  <c r="A46" i="93" s="1"/>
  <c r="A47" i="93" s="1"/>
  <c r="G19" i="93" s="1"/>
  <c r="G20" i="93" s="1"/>
  <c r="G21" i="93" s="1"/>
  <c r="G22" i="93" s="1"/>
  <c r="G23" i="93" s="1"/>
  <c r="G24" i="93" s="1"/>
  <c r="G25" i="93" s="1"/>
  <c r="G26" i="93" s="1"/>
  <c r="G27" i="93" s="1"/>
  <c r="G28" i="93" s="1"/>
  <c r="G29" i="93" s="1"/>
  <c r="G30" i="93" s="1"/>
  <c r="G31" i="93" s="1"/>
  <c r="G32" i="93" s="1"/>
  <c r="G33" i="93" s="1"/>
  <c r="G34" i="93" s="1"/>
  <c r="G35" i="93" s="1"/>
  <c r="G36" i="93" s="1"/>
  <c r="G37" i="93" s="1"/>
  <c r="G38" i="93" s="1"/>
  <c r="G39" i="93" s="1"/>
  <c r="G40" i="93" s="1"/>
  <c r="G41" i="93" s="1"/>
  <c r="G42" i="93" s="1"/>
  <c r="G43" i="93" s="1"/>
  <c r="G44" i="93" s="1"/>
  <c r="G45" i="93" s="1"/>
  <c r="G46" i="93" s="1"/>
  <c r="G47" i="93" s="1"/>
  <c r="I12" i="93"/>
  <c r="I11" i="93"/>
  <c r="A19" i="92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G19" i="92" s="1"/>
  <c r="G20" i="92" s="1"/>
  <c r="G21" i="92" s="1"/>
  <c r="G22" i="92" s="1"/>
  <c r="G23" i="92" s="1"/>
  <c r="G24" i="92" s="1"/>
  <c r="G25" i="92" s="1"/>
  <c r="G26" i="92" s="1"/>
  <c r="G27" i="92" s="1"/>
  <c r="G28" i="92" s="1"/>
  <c r="G29" i="92" s="1"/>
  <c r="G30" i="92" s="1"/>
  <c r="G31" i="92" s="1"/>
  <c r="G32" i="92" s="1"/>
  <c r="G33" i="92" s="1"/>
  <c r="G34" i="92" s="1"/>
  <c r="G35" i="92" s="1"/>
  <c r="G36" i="92" s="1"/>
  <c r="G37" i="92" s="1"/>
  <c r="G38" i="92" s="1"/>
  <c r="G39" i="92" s="1"/>
  <c r="G40" i="92" s="1"/>
  <c r="G41" i="92" s="1"/>
  <c r="G42" i="92" s="1"/>
  <c r="G43" i="92" s="1"/>
  <c r="G44" i="92" s="1"/>
  <c r="G45" i="92" s="1"/>
  <c r="G46" i="92" s="1"/>
  <c r="G47" i="92" s="1"/>
  <c r="I12" i="92"/>
  <c r="I10" i="92"/>
  <c r="A19" i="91"/>
  <c r="A20" i="91" s="1"/>
  <c r="A21" i="91" s="1"/>
  <c r="A22" i="91" s="1"/>
  <c r="A23" i="91" s="1"/>
  <c r="A24" i="91" s="1"/>
  <c r="A25" i="91" s="1"/>
  <c r="A26" i="91" s="1"/>
  <c r="A27" i="91" s="1"/>
  <c r="A28" i="91" s="1"/>
  <c r="A29" i="91" s="1"/>
  <c r="A30" i="91" s="1"/>
  <c r="A31" i="91" s="1"/>
  <c r="A32" i="91" s="1"/>
  <c r="A33" i="91" s="1"/>
  <c r="A34" i="91" s="1"/>
  <c r="A35" i="91" s="1"/>
  <c r="A36" i="91" s="1"/>
  <c r="A37" i="91" s="1"/>
  <c r="A38" i="91" s="1"/>
  <c r="A39" i="91" s="1"/>
  <c r="A40" i="91" s="1"/>
  <c r="A41" i="91" s="1"/>
  <c r="A42" i="91" s="1"/>
  <c r="A43" i="91" s="1"/>
  <c r="A44" i="91" s="1"/>
  <c r="A45" i="91" s="1"/>
  <c r="A46" i="91" s="1"/>
  <c r="A47" i="91" s="1"/>
  <c r="G19" i="91" s="1"/>
  <c r="G20" i="91" s="1"/>
  <c r="G21" i="91" s="1"/>
  <c r="G22" i="91" s="1"/>
  <c r="G23" i="91" s="1"/>
  <c r="G24" i="91" s="1"/>
  <c r="G25" i="91" s="1"/>
  <c r="G26" i="91" s="1"/>
  <c r="G27" i="91" s="1"/>
  <c r="G28" i="91" s="1"/>
  <c r="G29" i="91" s="1"/>
  <c r="G30" i="91" s="1"/>
  <c r="G31" i="91" s="1"/>
  <c r="G32" i="91" s="1"/>
  <c r="G33" i="91" s="1"/>
  <c r="G34" i="91" s="1"/>
  <c r="G35" i="91" s="1"/>
  <c r="G36" i="91" s="1"/>
  <c r="G37" i="91" s="1"/>
  <c r="G38" i="91" s="1"/>
  <c r="G39" i="91" s="1"/>
  <c r="G40" i="91" s="1"/>
  <c r="G41" i="91" s="1"/>
  <c r="G42" i="91" s="1"/>
  <c r="G43" i="91" s="1"/>
  <c r="G44" i="91" s="1"/>
  <c r="G45" i="91" s="1"/>
  <c r="G46" i="91" s="1"/>
  <c r="G47" i="91" s="1"/>
  <c r="A19" i="90"/>
  <c r="A20" i="90" s="1"/>
  <c r="A21" i="90" s="1"/>
  <c r="A22" i="90" s="1"/>
  <c r="A23" i="90" s="1"/>
  <c r="A24" i="90" s="1"/>
  <c r="A25" i="90" s="1"/>
  <c r="A26" i="90" s="1"/>
  <c r="A27" i="90" s="1"/>
  <c r="A28" i="90" s="1"/>
  <c r="A29" i="90" s="1"/>
  <c r="A30" i="90" s="1"/>
  <c r="A31" i="90" s="1"/>
  <c r="A32" i="90" s="1"/>
  <c r="A33" i="90" s="1"/>
  <c r="A34" i="90" s="1"/>
  <c r="A35" i="90" s="1"/>
  <c r="A36" i="90" s="1"/>
  <c r="A37" i="90" s="1"/>
  <c r="A38" i="90" s="1"/>
  <c r="A39" i="90" s="1"/>
  <c r="A40" i="90" s="1"/>
  <c r="A41" i="90" s="1"/>
  <c r="A42" i="90" s="1"/>
  <c r="A43" i="90" s="1"/>
  <c r="A44" i="90" s="1"/>
  <c r="A45" i="90" s="1"/>
  <c r="A46" i="90" s="1"/>
  <c r="A47" i="90" s="1"/>
  <c r="G19" i="90" s="1"/>
  <c r="G20" i="90" s="1"/>
  <c r="G21" i="90" s="1"/>
  <c r="G22" i="90" s="1"/>
  <c r="G23" i="90" s="1"/>
  <c r="G24" i="90" s="1"/>
  <c r="G25" i="90" s="1"/>
  <c r="G26" i="90" s="1"/>
  <c r="G27" i="90" s="1"/>
  <c r="G28" i="90" s="1"/>
  <c r="G29" i="90" s="1"/>
  <c r="G30" i="90" s="1"/>
  <c r="G31" i="90" s="1"/>
  <c r="G32" i="90" s="1"/>
  <c r="G33" i="90" s="1"/>
  <c r="G34" i="90" s="1"/>
  <c r="G35" i="90" s="1"/>
  <c r="G36" i="90" s="1"/>
  <c r="G37" i="90" s="1"/>
  <c r="G38" i="90" s="1"/>
  <c r="G39" i="90" s="1"/>
  <c r="G40" i="90" s="1"/>
  <c r="G41" i="90" s="1"/>
  <c r="G42" i="90" s="1"/>
  <c r="G43" i="90" s="1"/>
  <c r="G44" i="90" s="1"/>
  <c r="G45" i="90" s="1"/>
  <c r="G46" i="90" s="1"/>
  <c r="G47" i="90" s="1"/>
  <c r="A19" i="89"/>
  <c r="A20" i="89" s="1"/>
  <c r="A21" i="89" s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A42" i="89" s="1"/>
  <c r="A43" i="89" s="1"/>
  <c r="A44" i="89" s="1"/>
  <c r="A45" i="89" s="1"/>
  <c r="A46" i="89" s="1"/>
  <c r="A47" i="89" s="1"/>
  <c r="G19" i="89" s="1"/>
  <c r="G20" i="89" s="1"/>
  <c r="G21" i="89" s="1"/>
  <c r="G22" i="89" s="1"/>
  <c r="G23" i="89" s="1"/>
  <c r="G24" i="89" s="1"/>
  <c r="G25" i="89" s="1"/>
  <c r="G26" i="89" s="1"/>
  <c r="G27" i="89" s="1"/>
  <c r="G28" i="89" s="1"/>
  <c r="G29" i="89" s="1"/>
  <c r="G30" i="89" s="1"/>
  <c r="G31" i="89" s="1"/>
  <c r="G32" i="89" s="1"/>
  <c r="G33" i="89" s="1"/>
  <c r="G34" i="89" s="1"/>
  <c r="G35" i="89" s="1"/>
  <c r="G36" i="89" s="1"/>
  <c r="G37" i="89" s="1"/>
  <c r="G38" i="89" s="1"/>
  <c r="G39" i="89" s="1"/>
  <c r="G40" i="89" s="1"/>
  <c r="G41" i="89" s="1"/>
  <c r="G42" i="89" s="1"/>
  <c r="G43" i="89" s="1"/>
  <c r="G44" i="89" s="1"/>
  <c r="G45" i="89" s="1"/>
  <c r="G46" i="89" s="1"/>
  <c r="G47" i="89" s="1"/>
  <c r="I12" i="89"/>
  <c r="I10" i="89"/>
  <c r="A19" i="88"/>
  <c r="A20" i="88" s="1"/>
  <c r="A21" i="88" s="1"/>
  <c r="A22" i="88" s="1"/>
  <c r="A23" i="88" s="1"/>
  <c r="A24" i="88" s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45" i="88" s="1"/>
  <c r="A46" i="88" s="1"/>
  <c r="A47" i="88" s="1"/>
  <c r="G19" i="88" s="1"/>
  <c r="G20" i="88" s="1"/>
  <c r="G21" i="88" s="1"/>
  <c r="G22" i="88" s="1"/>
  <c r="G23" i="88" s="1"/>
  <c r="G24" i="88" s="1"/>
  <c r="G25" i="88" s="1"/>
  <c r="G26" i="88" s="1"/>
  <c r="G27" i="88" s="1"/>
  <c r="G28" i="88" s="1"/>
  <c r="G29" i="88" s="1"/>
  <c r="G30" i="88" s="1"/>
  <c r="G31" i="88" s="1"/>
  <c r="I12" i="88"/>
  <c r="I11" i="88"/>
  <c r="I10" i="88"/>
  <c r="I9" i="88"/>
  <c r="I8" i="88"/>
  <c r="A19" i="87"/>
  <c r="A20" i="87" s="1"/>
  <c r="A21" i="87" s="1"/>
  <c r="A22" i="87" s="1"/>
  <c r="A23" i="87" s="1"/>
  <c r="A24" i="87" s="1"/>
  <c r="A25" i="87" s="1"/>
  <c r="A26" i="87" s="1"/>
  <c r="A27" i="87" s="1"/>
  <c r="A28" i="87" s="1"/>
  <c r="A29" i="87" s="1"/>
  <c r="A30" i="87" s="1"/>
  <c r="A31" i="87" s="1"/>
  <c r="A32" i="87" s="1"/>
  <c r="A33" i="87" s="1"/>
  <c r="A34" i="87" s="1"/>
  <c r="A35" i="87" s="1"/>
  <c r="A36" i="87" s="1"/>
  <c r="A37" i="87" s="1"/>
  <c r="A38" i="87" s="1"/>
  <c r="A39" i="87" s="1"/>
  <c r="A40" i="87" s="1"/>
  <c r="A41" i="87" s="1"/>
  <c r="A42" i="87" s="1"/>
  <c r="A43" i="87" s="1"/>
  <c r="A44" i="87" s="1"/>
  <c r="A45" i="87" s="1"/>
  <c r="A46" i="87" s="1"/>
  <c r="A47" i="87" s="1"/>
  <c r="G19" i="87" s="1"/>
  <c r="G20" i="87" s="1"/>
  <c r="G21" i="87" s="1"/>
  <c r="G22" i="87" s="1"/>
  <c r="G23" i="87" s="1"/>
  <c r="G24" i="87" s="1"/>
  <c r="G25" i="87" s="1"/>
  <c r="G26" i="87" s="1"/>
  <c r="G27" i="87" s="1"/>
  <c r="G28" i="87" s="1"/>
  <c r="G29" i="87" s="1"/>
  <c r="G30" i="87" s="1"/>
  <c r="G31" i="87" s="1"/>
  <c r="G32" i="87" s="1"/>
  <c r="G33" i="87" s="1"/>
  <c r="G34" i="87" s="1"/>
  <c r="G35" i="87" s="1"/>
  <c r="G36" i="87" s="1"/>
  <c r="G37" i="87" s="1"/>
  <c r="G38" i="87" s="1"/>
  <c r="G39" i="87" s="1"/>
  <c r="G40" i="87" s="1"/>
  <c r="G41" i="87" s="1"/>
  <c r="G42" i="87" s="1"/>
  <c r="G43" i="87" s="1"/>
  <c r="G44" i="87" s="1"/>
  <c r="G45" i="87" s="1"/>
  <c r="G46" i="87" s="1"/>
  <c r="G47" i="87" s="1"/>
  <c r="I12" i="87"/>
  <c r="I11" i="87"/>
  <c r="I9" i="87"/>
  <c r="I8" i="87"/>
  <c r="A19" i="86"/>
  <c r="A20" i="86" s="1"/>
  <c r="A21" i="86" s="1"/>
  <c r="A22" i="86" s="1"/>
  <c r="A23" i="86" s="1"/>
  <c r="A24" i="86" s="1"/>
  <c r="A25" i="86" s="1"/>
  <c r="A26" i="86" s="1"/>
  <c r="A27" i="86" s="1"/>
  <c r="A28" i="86" s="1"/>
  <c r="A29" i="86" s="1"/>
  <c r="A30" i="86" s="1"/>
  <c r="A31" i="86" s="1"/>
  <c r="A32" i="86" s="1"/>
  <c r="A33" i="86" s="1"/>
  <c r="A34" i="86" s="1"/>
  <c r="A35" i="86" s="1"/>
  <c r="A36" i="86" s="1"/>
  <c r="A37" i="86" s="1"/>
  <c r="A38" i="86" s="1"/>
  <c r="A39" i="86" s="1"/>
  <c r="A40" i="86" s="1"/>
  <c r="A41" i="86" s="1"/>
  <c r="A42" i="86" s="1"/>
  <c r="A43" i="86" s="1"/>
  <c r="A44" i="86" s="1"/>
  <c r="A45" i="86" s="1"/>
  <c r="A46" i="86" s="1"/>
  <c r="A47" i="86" s="1"/>
  <c r="G19" i="86" s="1"/>
  <c r="G20" i="86" s="1"/>
  <c r="G21" i="86" s="1"/>
  <c r="G22" i="86" s="1"/>
  <c r="G23" i="86" s="1"/>
  <c r="G24" i="86" s="1"/>
  <c r="G25" i="86" s="1"/>
  <c r="G26" i="86" s="1"/>
  <c r="G27" i="86" s="1"/>
  <c r="G28" i="86" s="1"/>
  <c r="G29" i="86" s="1"/>
  <c r="G30" i="86" s="1"/>
  <c r="G31" i="86" s="1"/>
  <c r="G32" i="86" s="1"/>
  <c r="G33" i="86" s="1"/>
  <c r="G34" i="86" s="1"/>
  <c r="G35" i="86" s="1"/>
  <c r="G36" i="86" s="1"/>
  <c r="G37" i="86" s="1"/>
  <c r="G38" i="86" s="1"/>
  <c r="G39" i="86" s="1"/>
  <c r="G40" i="86" s="1"/>
  <c r="G41" i="86" s="1"/>
  <c r="G42" i="86" s="1"/>
  <c r="G43" i="86" s="1"/>
  <c r="G44" i="86" s="1"/>
  <c r="G45" i="86" s="1"/>
  <c r="G46" i="86" s="1"/>
  <c r="G47" i="86" s="1"/>
  <c r="I12" i="86"/>
  <c r="I11" i="86"/>
  <c r="I10" i="86"/>
  <c r="I9" i="86"/>
  <c r="I8" i="86"/>
  <c r="A19" i="85"/>
  <c r="A20" i="85" s="1"/>
  <c r="A21" i="85" s="1"/>
  <c r="A22" i="85" s="1"/>
  <c r="A23" i="85" s="1"/>
  <c r="A24" i="85" s="1"/>
  <c r="A25" i="85" s="1"/>
  <c r="A26" i="85" s="1"/>
  <c r="A27" i="85" s="1"/>
  <c r="A28" i="85" s="1"/>
  <c r="A29" i="85" s="1"/>
  <c r="A30" i="85" s="1"/>
  <c r="A31" i="85" s="1"/>
  <c r="A32" i="85" s="1"/>
  <c r="A33" i="85" s="1"/>
  <c r="A34" i="85" s="1"/>
  <c r="A35" i="85" s="1"/>
  <c r="A36" i="85" s="1"/>
  <c r="A37" i="85" s="1"/>
  <c r="A38" i="85" s="1"/>
  <c r="A39" i="85" s="1"/>
  <c r="A40" i="85" s="1"/>
  <c r="A41" i="85" s="1"/>
  <c r="A42" i="85" s="1"/>
  <c r="A43" i="85" s="1"/>
  <c r="A44" i="85" s="1"/>
  <c r="A45" i="85" s="1"/>
  <c r="A46" i="85" s="1"/>
  <c r="A47" i="85" s="1"/>
  <c r="G19" i="85" s="1"/>
  <c r="G20" i="85" s="1"/>
  <c r="G21" i="85" s="1"/>
  <c r="G22" i="85" s="1"/>
  <c r="G23" i="85" s="1"/>
  <c r="G24" i="85" s="1"/>
  <c r="G25" i="85" s="1"/>
  <c r="G26" i="85" s="1"/>
  <c r="G27" i="85" s="1"/>
  <c r="G28" i="85" s="1"/>
  <c r="G29" i="85" s="1"/>
  <c r="G30" i="85" s="1"/>
  <c r="G31" i="85" s="1"/>
  <c r="G32" i="85" s="1"/>
  <c r="G33" i="85" s="1"/>
  <c r="G34" i="85" s="1"/>
  <c r="G35" i="85" s="1"/>
  <c r="G36" i="85" s="1"/>
  <c r="G37" i="85" s="1"/>
  <c r="G38" i="85" s="1"/>
  <c r="G39" i="85" s="1"/>
  <c r="G40" i="85" s="1"/>
  <c r="G41" i="85" s="1"/>
  <c r="I12" i="85"/>
  <c r="I11" i="85"/>
  <c r="I10" i="85"/>
  <c r="A19" i="84"/>
  <c r="A20" i="84" s="1"/>
  <c r="A21" i="84" s="1"/>
  <c r="A22" i="84" s="1"/>
  <c r="A23" i="84" s="1"/>
  <c r="A24" i="84" s="1"/>
  <c r="A25" i="84" s="1"/>
  <c r="A26" i="84" s="1"/>
  <c r="A27" i="84" s="1"/>
  <c r="A28" i="84" s="1"/>
  <c r="A29" i="84" s="1"/>
  <c r="A30" i="84" s="1"/>
  <c r="A31" i="84" s="1"/>
  <c r="A32" i="84" s="1"/>
  <c r="A33" i="84" s="1"/>
  <c r="A34" i="84" s="1"/>
  <c r="A35" i="84" s="1"/>
  <c r="A36" i="84" s="1"/>
  <c r="A37" i="84" s="1"/>
  <c r="A38" i="84" s="1"/>
  <c r="A39" i="84" s="1"/>
  <c r="A40" i="84" s="1"/>
  <c r="A41" i="84" s="1"/>
  <c r="A42" i="84" s="1"/>
  <c r="A43" i="84" s="1"/>
  <c r="A44" i="84" s="1"/>
  <c r="A45" i="84" s="1"/>
  <c r="A46" i="84" s="1"/>
  <c r="A47" i="84" s="1"/>
  <c r="G19" i="84" s="1"/>
  <c r="G20" i="84" s="1"/>
  <c r="G21" i="84" s="1"/>
  <c r="G22" i="84" s="1"/>
  <c r="G23" i="84" s="1"/>
  <c r="G24" i="84" s="1"/>
  <c r="G25" i="84" s="1"/>
  <c r="G26" i="84" s="1"/>
  <c r="G27" i="84" s="1"/>
  <c r="G28" i="84" s="1"/>
  <c r="G29" i="84" s="1"/>
  <c r="G30" i="84" s="1"/>
  <c r="G31" i="84" s="1"/>
  <c r="G32" i="84" s="1"/>
  <c r="G33" i="84" s="1"/>
  <c r="G34" i="84" s="1"/>
  <c r="G35" i="84" s="1"/>
  <c r="G36" i="84" s="1"/>
  <c r="G37" i="84" s="1"/>
  <c r="G38" i="84" s="1"/>
  <c r="G39" i="84" s="1"/>
  <c r="G40" i="84" s="1"/>
  <c r="G41" i="84" s="1"/>
  <c r="G42" i="84" s="1"/>
  <c r="G43" i="84" s="1"/>
  <c r="G44" i="84" s="1"/>
  <c r="G45" i="84" s="1"/>
  <c r="G46" i="84" s="1"/>
  <c r="G47" i="84" s="1"/>
  <c r="I8" i="84"/>
  <c r="A19" i="83"/>
  <c r="A20" i="83" s="1"/>
  <c r="A21" i="83" s="1"/>
  <c r="A22" i="83" s="1"/>
  <c r="A23" i="83" s="1"/>
  <c r="A24" i="83" s="1"/>
  <c r="A25" i="83" s="1"/>
  <c r="A26" i="83" s="1"/>
  <c r="A27" i="83" s="1"/>
  <c r="A28" i="83" s="1"/>
  <c r="A29" i="83" s="1"/>
  <c r="A30" i="83" s="1"/>
  <c r="A31" i="83" s="1"/>
  <c r="A32" i="83" s="1"/>
  <c r="A33" i="83" s="1"/>
  <c r="A34" i="83" s="1"/>
  <c r="A35" i="83" s="1"/>
  <c r="A36" i="83" s="1"/>
  <c r="A37" i="83" s="1"/>
  <c r="A38" i="83" s="1"/>
  <c r="A39" i="83" s="1"/>
  <c r="A40" i="83" s="1"/>
  <c r="A41" i="83" s="1"/>
  <c r="A42" i="83" s="1"/>
  <c r="A43" i="83" s="1"/>
  <c r="A44" i="83" s="1"/>
  <c r="A45" i="83" s="1"/>
  <c r="A46" i="83" s="1"/>
  <c r="A47" i="83" s="1"/>
  <c r="G19" i="83" s="1"/>
  <c r="G20" i="83" s="1"/>
  <c r="G21" i="83" s="1"/>
  <c r="G22" i="83" s="1"/>
  <c r="G23" i="83" s="1"/>
  <c r="G24" i="83" s="1"/>
  <c r="G25" i="83" s="1"/>
  <c r="G26" i="83" s="1"/>
  <c r="G27" i="83" s="1"/>
  <c r="G28" i="83" s="1"/>
  <c r="G29" i="83" s="1"/>
  <c r="G30" i="83" s="1"/>
  <c r="G31" i="83" s="1"/>
  <c r="G32" i="83" s="1"/>
  <c r="G33" i="83" s="1"/>
  <c r="G34" i="83" s="1"/>
  <c r="G35" i="83" s="1"/>
  <c r="G36" i="83" s="1"/>
  <c r="G37" i="83" s="1"/>
  <c r="G38" i="83" s="1"/>
  <c r="G39" i="83" s="1"/>
  <c r="G40" i="83" s="1"/>
  <c r="G41" i="83" s="1"/>
  <c r="G42" i="83" s="1"/>
  <c r="G43" i="83" s="1"/>
  <c r="G44" i="83" s="1"/>
  <c r="G45" i="83" s="1"/>
  <c r="G46" i="83" s="1"/>
  <c r="G47" i="83" s="1"/>
  <c r="I12" i="83"/>
  <c r="I11" i="83"/>
  <c r="I10" i="83"/>
  <c r="I9" i="83"/>
  <c r="A19" i="82"/>
  <c r="A20" i="82" s="1"/>
  <c r="A21" i="82" s="1"/>
  <c r="A22" i="82" s="1"/>
  <c r="A23" i="82" s="1"/>
  <c r="A24" i="82" s="1"/>
  <c r="A25" i="82" s="1"/>
  <c r="A26" i="82" s="1"/>
  <c r="A27" i="82" s="1"/>
  <c r="A28" i="82" s="1"/>
  <c r="A29" i="82" s="1"/>
  <c r="A30" i="82" s="1"/>
  <c r="A31" i="82" s="1"/>
  <c r="A32" i="82" s="1"/>
  <c r="A33" i="82" s="1"/>
  <c r="A34" i="82" s="1"/>
  <c r="A35" i="82" s="1"/>
  <c r="A36" i="82" s="1"/>
  <c r="A37" i="82" s="1"/>
  <c r="A38" i="82" s="1"/>
  <c r="A39" i="82" s="1"/>
  <c r="A40" i="82" s="1"/>
  <c r="A41" i="82" s="1"/>
  <c r="A42" i="82" s="1"/>
  <c r="A43" i="82" s="1"/>
  <c r="A44" i="82" s="1"/>
  <c r="A45" i="82" s="1"/>
  <c r="A46" i="82" s="1"/>
  <c r="A47" i="82" s="1"/>
  <c r="G19" i="82" s="1"/>
  <c r="G20" i="82" s="1"/>
  <c r="G21" i="82" s="1"/>
  <c r="G22" i="82" s="1"/>
  <c r="G23" i="82" s="1"/>
  <c r="G24" i="82" s="1"/>
  <c r="G25" i="82" s="1"/>
  <c r="G26" i="82" s="1"/>
  <c r="G27" i="82" s="1"/>
  <c r="G28" i="82" s="1"/>
  <c r="G29" i="82" s="1"/>
  <c r="G30" i="82" s="1"/>
  <c r="G31" i="82" s="1"/>
  <c r="G32" i="82" s="1"/>
  <c r="G33" i="82" s="1"/>
  <c r="G34" i="82" s="1"/>
  <c r="G35" i="82" s="1"/>
  <c r="G36" i="82" s="1"/>
  <c r="G37" i="82" s="1"/>
  <c r="G38" i="82" s="1"/>
  <c r="G39" i="82" s="1"/>
  <c r="G40" i="82" s="1"/>
  <c r="G41" i="82" s="1"/>
  <c r="G42" i="82" s="1"/>
  <c r="G43" i="82" s="1"/>
  <c r="G44" i="82" s="1"/>
  <c r="G45" i="82" s="1"/>
  <c r="G46" i="82" s="1"/>
  <c r="G47" i="82" s="1"/>
  <c r="I11" i="82"/>
  <c r="I10" i="82"/>
  <c r="I8" i="82"/>
  <c r="A19" i="81"/>
  <c r="A20" i="81" s="1"/>
  <c r="A21" i="81" s="1"/>
  <c r="A22" i="81" s="1"/>
  <c r="A23" i="81" s="1"/>
  <c r="A24" i="81" s="1"/>
  <c r="A25" i="81" s="1"/>
  <c r="A26" i="81" s="1"/>
  <c r="A27" i="81" s="1"/>
  <c r="A28" i="81" s="1"/>
  <c r="A29" i="81" s="1"/>
  <c r="A30" i="81" s="1"/>
  <c r="A31" i="81" s="1"/>
  <c r="A32" i="81" s="1"/>
  <c r="A33" i="81" s="1"/>
  <c r="A34" i="81" s="1"/>
  <c r="A35" i="81" s="1"/>
  <c r="A36" i="81" s="1"/>
  <c r="A37" i="81" s="1"/>
  <c r="A38" i="81" s="1"/>
  <c r="A39" i="81" s="1"/>
  <c r="A40" i="81" s="1"/>
  <c r="A41" i="81" s="1"/>
  <c r="A42" i="81" s="1"/>
  <c r="A43" i="81" s="1"/>
  <c r="A44" i="81" s="1"/>
  <c r="A45" i="81" s="1"/>
  <c r="A46" i="81" s="1"/>
  <c r="A47" i="81" s="1"/>
  <c r="I12" i="81"/>
  <c r="I11" i="81"/>
  <c r="A19" i="80"/>
  <c r="A20" i="80" s="1"/>
  <c r="A21" i="80" s="1"/>
  <c r="A22" i="80" s="1"/>
  <c r="A23" i="80" s="1"/>
  <c r="A24" i="80" s="1"/>
  <c r="A25" i="80" s="1"/>
  <c r="A26" i="80" s="1"/>
  <c r="A27" i="80" s="1"/>
  <c r="A28" i="80" s="1"/>
  <c r="A29" i="80" s="1"/>
  <c r="A30" i="80" s="1"/>
  <c r="A31" i="80" s="1"/>
  <c r="A32" i="80" s="1"/>
  <c r="A33" i="80" s="1"/>
  <c r="A34" i="80" s="1"/>
  <c r="A35" i="80" s="1"/>
  <c r="A36" i="80" s="1"/>
  <c r="A37" i="80" s="1"/>
  <c r="A38" i="80" s="1"/>
  <c r="A39" i="80" s="1"/>
  <c r="A40" i="80" s="1"/>
  <c r="A41" i="80" s="1"/>
  <c r="A42" i="80" s="1"/>
  <c r="A43" i="80" s="1"/>
  <c r="A44" i="80" s="1"/>
  <c r="A45" i="80" s="1"/>
  <c r="A46" i="80" s="1"/>
  <c r="A47" i="80" s="1"/>
  <c r="I12" i="80"/>
  <c r="I11" i="80"/>
  <c r="G11" i="80"/>
  <c r="G12" i="80" s="1"/>
  <c r="G13" i="80" s="1"/>
  <c r="G14" i="80" s="1"/>
  <c r="I10" i="80"/>
  <c r="I9" i="80"/>
  <c r="A19" i="79"/>
  <c r="A20" i="79" s="1"/>
  <c r="A21" i="79" s="1"/>
  <c r="A22" i="79" s="1"/>
  <c r="A23" i="79" s="1"/>
  <c r="A24" i="79" s="1"/>
  <c r="A25" i="79" s="1"/>
  <c r="A26" i="79" s="1"/>
  <c r="A27" i="79" s="1"/>
  <c r="A28" i="79" s="1"/>
  <c r="A29" i="79" s="1"/>
  <c r="A30" i="79" s="1"/>
  <c r="A31" i="79" s="1"/>
  <c r="A32" i="79" s="1"/>
  <c r="A33" i="79" s="1"/>
  <c r="A34" i="79" s="1"/>
  <c r="A35" i="79" s="1"/>
  <c r="A36" i="79" s="1"/>
  <c r="A37" i="79" s="1"/>
  <c r="A38" i="79" s="1"/>
  <c r="A39" i="79" s="1"/>
  <c r="A40" i="79" s="1"/>
  <c r="A41" i="79" s="1"/>
  <c r="A42" i="79" s="1"/>
  <c r="A43" i="79" s="1"/>
  <c r="A44" i="79" s="1"/>
  <c r="A45" i="79" s="1"/>
  <c r="A46" i="79" s="1"/>
  <c r="A47" i="79" s="1"/>
  <c r="G19" i="79" s="1"/>
  <c r="G20" i="79" s="1"/>
  <c r="G21" i="79" s="1"/>
  <c r="G22" i="79" s="1"/>
  <c r="A19" i="78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A36" i="78" s="1"/>
  <c r="A37" i="78" s="1"/>
  <c r="A38" i="78" s="1"/>
  <c r="A39" i="78" s="1"/>
  <c r="A40" i="78" s="1"/>
  <c r="A41" i="78" s="1"/>
  <c r="A42" i="78" s="1"/>
  <c r="A43" i="78" s="1"/>
  <c r="A44" i="78" s="1"/>
  <c r="A45" i="78" s="1"/>
  <c r="A46" i="78" s="1"/>
  <c r="A47" i="78" s="1"/>
  <c r="G19" i="78" s="1"/>
  <c r="G20" i="78" s="1"/>
  <c r="G21" i="78" s="1"/>
  <c r="G22" i="78" s="1"/>
  <c r="G23" i="78" s="1"/>
  <c r="G24" i="78" s="1"/>
  <c r="G25" i="78" s="1"/>
  <c r="G26" i="78" s="1"/>
  <c r="G27" i="78" s="1"/>
  <c r="G28" i="78" s="1"/>
  <c r="G29" i="78" s="1"/>
  <c r="G30" i="78" s="1"/>
  <c r="G31" i="78" s="1"/>
  <c r="G32" i="78" s="1"/>
  <c r="G33" i="78" s="1"/>
  <c r="G34" i="78" s="1"/>
  <c r="G35" i="78" s="1"/>
  <c r="G36" i="78" s="1"/>
  <c r="I12" i="78"/>
  <c r="I10" i="78"/>
  <c r="I9" i="78"/>
  <c r="A19" i="77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A36" i="77" s="1"/>
  <c r="A37" i="77" s="1"/>
  <c r="A38" i="77" s="1"/>
  <c r="A39" i="77" s="1"/>
  <c r="A40" i="77" s="1"/>
  <c r="A41" i="77" s="1"/>
  <c r="A42" i="77" s="1"/>
  <c r="A43" i="77" s="1"/>
  <c r="A44" i="77" s="1"/>
  <c r="A45" i="77" s="1"/>
  <c r="A46" i="77" s="1"/>
  <c r="A47" i="77" s="1"/>
  <c r="G19" i="77" s="1"/>
  <c r="G20" i="77" s="1"/>
  <c r="G21" i="77" s="1"/>
  <c r="G22" i="77" s="1"/>
  <c r="G23" i="77" s="1"/>
  <c r="G24" i="77" s="1"/>
  <c r="G25" i="77" s="1"/>
  <c r="G26" i="77" s="1"/>
  <c r="G27" i="77" s="1"/>
  <c r="G28" i="77" s="1"/>
  <c r="G29" i="77" s="1"/>
  <c r="G30" i="77" s="1"/>
  <c r="G31" i="77" s="1"/>
  <c r="G32" i="77" s="1"/>
  <c r="G33" i="77" s="1"/>
  <c r="G34" i="77" s="1"/>
  <c r="G35" i="77" s="1"/>
  <c r="G36" i="77" s="1"/>
  <c r="G37" i="77" s="1"/>
  <c r="G38" i="77" s="1"/>
  <c r="G39" i="77" s="1"/>
  <c r="G40" i="77" s="1"/>
  <c r="G41" i="77" s="1"/>
  <c r="G42" i="77" s="1"/>
  <c r="G43" i="77" s="1"/>
  <c r="G44" i="77" s="1"/>
  <c r="G45" i="77" s="1"/>
  <c r="G46" i="77" s="1"/>
  <c r="G47" i="77" s="1"/>
  <c r="I12" i="77"/>
  <c r="I11" i="77"/>
  <c r="G11" i="77"/>
  <c r="G12" i="77" s="1"/>
  <c r="G13" i="77" s="1"/>
  <c r="G14" i="77" s="1"/>
  <c r="I10" i="77"/>
  <c r="A19" i="76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A47" i="76" s="1"/>
  <c r="G19" i="76" s="1"/>
  <c r="G20" i="76" s="1"/>
  <c r="G21" i="76" s="1"/>
  <c r="G22" i="76" s="1"/>
  <c r="G23" i="76" s="1"/>
  <c r="G24" i="76" s="1"/>
  <c r="G25" i="76" s="1"/>
  <c r="G26" i="76" s="1"/>
  <c r="G27" i="76" s="1"/>
  <c r="G28" i="76" s="1"/>
  <c r="G29" i="76" s="1"/>
  <c r="G30" i="76" s="1"/>
  <c r="G31" i="76" s="1"/>
  <c r="G32" i="76" s="1"/>
  <c r="C13" i="76"/>
  <c r="I12" i="76"/>
  <c r="C12" i="76"/>
  <c r="I11" i="76"/>
  <c r="G12" i="76"/>
  <c r="G13" i="76" s="1"/>
  <c r="G14" i="76" s="1"/>
  <c r="C11" i="76"/>
  <c r="I10" i="76"/>
  <c r="C10" i="76"/>
  <c r="I9" i="76"/>
  <c r="C9" i="76"/>
  <c r="I8" i="76"/>
  <c r="C8" i="76"/>
  <c r="A19" i="75"/>
  <c r="A20" i="75" s="1"/>
  <c r="A21" i="75" s="1"/>
  <c r="A22" i="75" s="1"/>
  <c r="A23" i="75" s="1"/>
  <c r="A24" i="75" s="1"/>
  <c r="A25" i="75" s="1"/>
  <c r="A26" i="75" s="1"/>
  <c r="A27" i="75" s="1"/>
  <c r="A28" i="75" s="1"/>
  <c r="A29" i="75" s="1"/>
  <c r="A30" i="75" s="1"/>
  <c r="A31" i="75" s="1"/>
  <c r="A32" i="75" s="1"/>
  <c r="A33" i="75" s="1"/>
  <c r="A34" i="75" s="1"/>
  <c r="A35" i="75" s="1"/>
  <c r="A36" i="75" s="1"/>
  <c r="A37" i="75" s="1"/>
  <c r="A38" i="75" s="1"/>
  <c r="A39" i="75" s="1"/>
  <c r="A40" i="75" s="1"/>
  <c r="A41" i="75" s="1"/>
  <c r="A42" i="75" s="1"/>
  <c r="A43" i="75" s="1"/>
  <c r="A44" i="75" s="1"/>
  <c r="A45" i="75" s="1"/>
  <c r="A46" i="75" s="1"/>
  <c r="A47" i="75" s="1"/>
  <c r="G19" i="75" s="1"/>
  <c r="G20" i="75" s="1"/>
  <c r="G21" i="75" s="1"/>
  <c r="G22" i="75" s="1"/>
  <c r="G23" i="75" s="1"/>
  <c r="G24" i="75" s="1"/>
  <c r="G25" i="75" s="1"/>
  <c r="G26" i="75" s="1"/>
  <c r="G27" i="75" s="1"/>
  <c r="G28" i="75" s="1"/>
  <c r="G29" i="75" s="1"/>
  <c r="G30" i="75" s="1"/>
  <c r="G31" i="75" s="1"/>
  <c r="G32" i="75" s="1"/>
  <c r="G33" i="75" s="1"/>
  <c r="G34" i="75" s="1"/>
  <c r="G35" i="75" s="1"/>
  <c r="G36" i="75" s="1"/>
  <c r="G37" i="75" s="1"/>
  <c r="G38" i="75" s="1"/>
  <c r="G39" i="75" s="1"/>
  <c r="G40" i="75" s="1"/>
  <c r="G41" i="75" s="1"/>
  <c r="G42" i="75" s="1"/>
  <c r="G43" i="75" s="1"/>
  <c r="G44" i="75" s="1"/>
  <c r="G45" i="75" s="1"/>
  <c r="G46" i="75" s="1"/>
  <c r="G47" i="75" s="1"/>
  <c r="I12" i="75"/>
  <c r="C12" i="75"/>
  <c r="I11" i="75"/>
  <c r="G11" i="75"/>
  <c r="G12" i="75" s="1"/>
  <c r="G13" i="75" s="1"/>
  <c r="G14" i="75" s="1"/>
  <c r="C11" i="75"/>
  <c r="C10" i="75"/>
  <c r="C9" i="75"/>
  <c r="A19" i="74"/>
  <c r="A20" i="74" s="1"/>
  <c r="A21" i="74" s="1"/>
  <c r="A22" i="74" s="1"/>
  <c r="A23" i="74" s="1"/>
  <c r="A24" i="74" s="1"/>
  <c r="A25" i="74" s="1"/>
  <c r="A26" i="74" s="1"/>
  <c r="A27" i="74" s="1"/>
  <c r="A28" i="74" s="1"/>
  <c r="A29" i="74" s="1"/>
  <c r="A30" i="74" s="1"/>
  <c r="A31" i="74" s="1"/>
  <c r="A32" i="74" s="1"/>
  <c r="A33" i="74" s="1"/>
  <c r="A34" i="74" s="1"/>
  <c r="A35" i="74" s="1"/>
  <c r="A36" i="74" s="1"/>
  <c r="A37" i="74" s="1"/>
  <c r="A38" i="74" s="1"/>
  <c r="A39" i="74" s="1"/>
  <c r="A40" i="74" s="1"/>
  <c r="A41" i="74" s="1"/>
  <c r="A42" i="74" s="1"/>
  <c r="A43" i="74" s="1"/>
  <c r="A44" i="74" s="1"/>
  <c r="A45" i="74" s="1"/>
  <c r="A46" i="74" s="1"/>
  <c r="A47" i="74" s="1"/>
  <c r="G19" i="74" s="1"/>
  <c r="G20" i="74" s="1"/>
  <c r="G21" i="74" s="1"/>
  <c r="G22" i="74" s="1"/>
  <c r="G23" i="74" s="1"/>
  <c r="G24" i="74" s="1"/>
  <c r="G25" i="74" s="1"/>
  <c r="G26" i="74" s="1"/>
  <c r="G27" i="74" s="1"/>
  <c r="G28" i="74" s="1"/>
  <c r="G29" i="74" s="1"/>
  <c r="G30" i="74" s="1"/>
  <c r="G31" i="74" s="1"/>
  <c r="G32" i="74" s="1"/>
  <c r="G33" i="74" s="1"/>
  <c r="G34" i="74" s="1"/>
  <c r="G35" i="74" s="1"/>
  <c r="G36" i="74" s="1"/>
  <c r="G37" i="74" s="1"/>
  <c r="G38" i="74" s="1"/>
  <c r="G39" i="74" s="1"/>
  <c r="G40" i="74" s="1"/>
  <c r="G41" i="74" s="1"/>
  <c r="G42" i="74" s="1"/>
  <c r="G43" i="74" s="1"/>
  <c r="G44" i="74" s="1"/>
  <c r="G45" i="74" s="1"/>
  <c r="G46" i="74" s="1"/>
  <c r="G47" i="74" s="1"/>
  <c r="C13" i="74"/>
  <c r="I12" i="74"/>
  <c r="C12" i="74"/>
  <c r="I11" i="74"/>
  <c r="G11" i="74"/>
  <c r="G12" i="74" s="1"/>
  <c r="G13" i="74" s="1"/>
  <c r="G14" i="74" s="1"/>
  <c r="C11" i="74"/>
  <c r="I10" i="74"/>
  <c r="C10" i="74"/>
  <c r="I9" i="74"/>
  <c r="C9" i="74"/>
  <c r="I8" i="74"/>
  <c r="C8" i="74"/>
  <c r="A19" i="73"/>
  <c r="A20" i="73" s="1"/>
  <c r="A21" i="73" s="1"/>
  <c r="A22" i="73" s="1"/>
  <c r="A23" i="73" s="1"/>
  <c r="A24" i="73" s="1"/>
  <c r="A25" i="73" s="1"/>
  <c r="A26" i="73" s="1"/>
  <c r="A27" i="73" s="1"/>
  <c r="A28" i="73" s="1"/>
  <c r="A29" i="73" s="1"/>
  <c r="A30" i="73" s="1"/>
  <c r="A31" i="73" s="1"/>
  <c r="A32" i="73" s="1"/>
  <c r="A33" i="73" s="1"/>
  <c r="A34" i="73" s="1"/>
  <c r="A35" i="73" s="1"/>
  <c r="A36" i="73" s="1"/>
  <c r="A37" i="73" s="1"/>
  <c r="A38" i="73" s="1"/>
  <c r="A39" i="73" s="1"/>
  <c r="A40" i="73" s="1"/>
  <c r="A41" i="73" s="1"/>
  <c r="A42" i="73" s="1"/>
  <c r="A43" i="73" s="1"/>
  <c r="A44" i="73" s="1"/>
  <c r="A45" i="73" s="1"/>
  <c r="A46" i="73" s="1"/>
  <c r="A47" i="73" s="1"/>
  <c r="G19" i="73" s="1"/>
  <c r="G20" i="73" s="1"/>
  <c r="G21" i="73" s="1"/>
  <c r="G22" i="73" s="1"/>
  <c r="G23" i="73" s="1"/>
  <c r="G24" i="73" s="1"/>
  <c r="G25" i="73" s="1"/>
  <c r="G26" i="73" s="1"/>
  <c r="G27" i="73" s="1"/>
  <c r="G28" i="73" s="1"/>
  <c r="G29" i="73" s="1"/>
  <c r="G30" i="73" s="1"/>
  <c r="G31" i="73" s="1"/>
  <c r="G32" i="73" s="1"/>
  <c r="G33" i="73" s="1"/>
  <c r="G34" i="73" s="1"/>
  <c r="G35" i="73" s="1"/>
  <c r="G36" i="73" s="1"/>
  <c r="G37" i="73" s="1"/>
  <c r="G38" i="73" s="1"/>
  <c r="G39" i="73" s="1"/>
  <c r="G40" i="73" s="1"/>
  <c r="G41" i="73" s="1"/>
  <c r="G42" i="73" s="1"/>
  <c r="G43" i="73" s="1"/>
  <c r="G44" i="73" s="1"/>
  <c r="G45" i="73" s="1"/>
  <c r="G46" i="73" s="1"/>
  <c r="G47" i="73" s="1"/>
  <c r="C13" i="73"/>
  <c r="I12" i="73"/>
  <c r="C12" i="73"/>
  <c r="I11" i="73"/>
  <c r="C11" i="73"/>
  <c r="I10" i="73"/>
  <c r="C10" i="73"/>
  <c r="C9" i="73"/>
  <c r="C8" i="73"/>
  <c r="A19" i="72"/>
  <c r="A20" i="72" s="1"/>
  <c r="A21" i="72" s="1"/>
  <c r="A22" i="72" s="1"/>
  <c r="A23" i="72" s="1"/>
  <c r="A24" i="72" s="1"/>
  <c r="A25" i="72" s="1"/>
  <c r="A26" i="72" s="1"/>
  <c r="A27" i="72" s="1"/>
  <c r="A28" i="72" s="1"/>
  <c r="A29" i="72" s="1"/>
  <c r="A30" i="72" s="1"/>
  <c r="A31" i="72" s="1"/>
  <c r="A32" i="72" s="1"/>
  <c r="A33" i="72" s="1"/>
  <c r="A34" i="72" s="1"/>
  <c r="A35" i="72" s="1"/>
  <c r="A36" i="72" s="1"/>
  <c r="A37" i="72" s="1"/>
  <c r="A38" i="72" s="1"/>
  <c r="A39" i="72" s="1"/>
  <c r="A40" i="72" s="1"/>
  <c r="A41" i="72" s="1"/>
  <c r="A42" i="72" s="1"/>
  <c r="A43" i="72" s="1"/>
  <c r="A44" i="72" s="1"/>
  <c r="A45" i="72" s="1"/>
  <c r="A46" i="72" s="1"/>
  <c r="A47" i="72" s="1"/>
  <c r="G19" i="72" s="1"/>
  <c r="G20" i="72" s="1"/>
  <c r="G21" i="72" s="1"/>
  <c r="G22" i="72" s="1"/>
  <c r="G23" i="72" s="1"/>
  <c r="G24" i="72" s="1"/>
  <c r="G25" i="72" s="1"/>
  <c r="G26" i="72" s="1"/>
  <c r="G27" i="72" s="1"/>
  <c r="G28" i="72" s="1"/>
  <c r="G29" i="72" s="1"/>
  <c r="G30" i="72" s="1"/>
  <c r="G31" i="72" s="1"/>
  <c r="G32" i="72" s="1"/>
  <c r="G33" i="72" s="1"/>
  <c r="G34" i="72" s="1"/>
  <c r="G35" i="72" s="1"/>
  <c r="G36" i="72" s="1"/>
  <c r="G37" i="72" s="1"/>
  <c r="G38" i="72" s="1"/>
  <c r="G39" i="72" s="1"/>
  <c r="G40" i="72" s="1"/>
  <c r="G41" i="72" s="1"/>
  <c r="G42" i="72" s="1"/>
  <c r="G43" i="72" s="1"/>
  <c r="G44" i="72" s="1"/>
  <c r="G45" i="72" s="1"/>
  <c r="G46" i="72" s="1"/>
  <c r="G47" i="72" s="1"/>
  <c r="C13" i="72"/>
  <c r="C12" i="72"/>
  <c r="I11" i="72"/>
  <c r="C11" i="72"/>
  <c r="C10" i="72"/>
  <c r="C9" i="72"/>
  <c r="C8" i="72"/>
  <c r="A19" i="71"/>
  <c r="A20" i="71" s="1"/>
  <c r="A21" i="71" s="1"/>
  <c r="A22" i="71" s="1"/>
  <c r="A23" i="71" s="1"/>
  <c r="A24" i="71" s="1"/>
  <c r="A25" i="71" s="1"/>
  <c r="A26" i="71" s="1"/>
  <c r="A27" i="71" s="1"/>
  <c r="A28" i="71" s="1"/>
  <c r="A29" i="71" s="1"/>
  <c r="A30" i="71" s="1"/>
  <c r="A31" i="71" s="1"/>
  <c r="A32" i="71" s="1"/>
  <c r="A33" i="71" s="1"/>
  <c r="A34" i="71" s="1"/>
  <c r="A35" i="71" s="1"/>
  <c r="A36" i="71" s="1"/>
  <c r="A37" i="71" s="1"/>
  <c r="A38" i="71" s="1"/>
  <c r="A39" i="71" s="1"/>
  <c r="A40" i="71" s="1"/>
  <c r="A41" i="71" s="1"/>
  <c r="A42" i="71" s="1"/>
  <c r="A43" i="71" s="1"/>
  <c r="A44" i="71" s="1"/>
  <c r="A45" i="71" s="1"/>
  <c r="A46" i="71" s="1"/>
  <c r="A47" i="71" s="1"/>
  <c r="G19" i="71" s="1"/>
  <c r="G20" i="71" s="1"/>
  <c r="G21" i="71" s="1"/>
  <c r="G22" i="71" s="1"/>
  <c r="G23" i="71" s="1"/>
  <c r="G24" i="71" s="1"/>
  <c r="G25" i="71" s="1"/>
  <c r="G26" i="71" s="1"/>
  <c r="G27" i="71" s="1"/>
  <c r="G28" i="71" s="1"/>
  <c r="G29" i="71" s="1"/>
  <c r="G30" i="71" s="1"/>
  <c r="G31" i="71" s="1"/>
  <c r="G32" i="71" s="1"/>
  <c r="G33" i="71" s="1"/>
  <c r="G34" i="71" s="1"/>
  <c r="G35" i="71" s="1"/>
  <c r="G36" i="71" s="1"/>
  <c r="G37" i="71" s="1"/>
  <c r="G38" i="71" s="1"/>
  <c r="G39" i="71" s="1"/>
  <c r="G40" i="71" s="1"/>
  <c r="G41" i="71" s="1"/>
  <c r="G42" i="71" s="1"/>
  <c r="G43" i="71" s="1"/>
  <c r="G44" i="71" s="1"/>
  <c r="G45" i="71" s="1"/>
  <c r="G46" i="71" s="1"/>
  <c r="G47" i="71" s="1"/>
  <c r="I12" i="71"/>
  <c r="I11" i="71"/>
  <c r="C11" i="71"/>
  <c r="I10" i="71"/>
  <c r="A19" i="70"/>
  <c r="A20" i="70" s="1"/>
  <c r="A21" i="70" s="1"/>
  <c r="A22" i="70" s="1"/>
  <c r="A23" i="70" s="1"/>
  <c r="A24" i="70" s="1"/>
  <c r="A25" i="70" s="1"/>
  <c r="A26" i="70" s="1"/>
  <c r="A27" i="70" s="1"/>
  <c r="A28" i="70" s="1"/>
  <c r="A29" i="70" s="1"/>
  <c r="A30" i="70" s="1"/>
  <c r="A31" i="70" s="1"/>
  <c r="A32" i="70" s="1"/>
  <c r="A33" i="70" s="1"/>
  <c r="A34" i="70" s="1"/>
  <c r="A35" i="70" s="1"/>
  <c r="A36" i="70" s="1"/>
  <c r="A37" i="70" s="1"/>
  <c r="A38" i="70" s="1"/>
  <c r="A39" i="70" s="1"/>
  <c r="A40" i="70" s="1"/>
  <c r="A41" i="70" s="1"/>
  <c r="A42" i="70" s="1"/>
  <c r="A43" i="70" s="1"/>
  <c r="A44" i="70" s="1"/>
  <c r="A45" i="70" s="1"/>
  <c r="A46" i="70" s="1"/>
  <c r="A47" i="70" s="1"/>
  <c r="G19" i="70" s="1"/>
  <c r="G20" i="70" s="1"/>
  <c r="G21" i="70" s="1"/>
  <c r="G22" i="70" s="1"/>
  <c r="G23" i="70" s="1"/>
  <c r="G24" i="70" s="1"/>
  <c r="G25" i="70" s="1"/>
  <c r="G26" i="70" s="1"/>
  <c r="G27" i="70" s="1"/>
  <c r="G28" i="70" s="1"/>
  <c r="G29" i="70" s="1"/>
  <c r="G30" i="70" s="1"/>
  <c r="G31" i="70" s="1"/>
  <c r="G32" i="70" s="1"/>
  <c r="G33" i="70" s="1"/>
  <c r="G34" i="70" s="1"/>
  <c r="G35" i="70" s="1"/>
  <c r="G36" i="70" s="1"/>
  <c r="G37" i="70" s="1"/>
  <c r="G38" i="70" s="1"/>
  <c r="G39" i="70" s="1"/>
  <c r="G40" i="70" s="1"/>
  <c r="G41" i="70" s="1"/>
  <c r="G42" i="70" s="1"/>
  <c r="G43" i="70" s="1"/>
  <c r="G44" i="70" s="1"/>
  <c r="G45" i="70" s="1"/>
  <c r="G46" i="70" s="1"/>
  <c r="G47" i="70" s="1"/>
  <c r="A19" i="69"/>
  <c r="A20" i="69" s="1"/>
  <c r="A21" i="69" s="1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G19" i="69" s="1"/>
  <c r="G20" i="69" s="1"/>
  <c r="G21" i="69" s="1"/>
  <c r="G22" i="69" s="1"/>
  <c r="G23" i="69" s="1"/>
  <c r="G24" i="69" s="1"/>
  <c r="G25" i="69" s="1"/>
  <c r="G26" i="69" s="1"/>
  <c r="G27" i="69" s="1"/>
  <c r="G28" i="69" s="1"/>
  <c r="G29" i="69" s="1"/>
  <c r="G30" i="69" s="1"/>
  <c r="G31" i="69" s="1"/>
  <c r="G32" i="69" s="1"/>
  <c r="G33" i="69" s="1"/>
  <c r="G34" i="69" s="1"/>
  <c r="G35" i="69" s="1"/>
  <c r="G36" i="69" s="1"/>
  <c r="G37" i="69" s="1"/>
  <c r="G38" i="69" s="1"/>
  <c r="G39" i="69" s="1"/>
  <c r="G40" i="69" s="1"/>
  <c r="G41" i="69" s="1"/>
  <c r="G42" i="69" s="1"/>
  <c r="G43" i="69" s="1"/>
  <c r="G44" i="69" s="1"/>
  <c r="G45" i="69" s="1"/>
  <c r="G46" i="69" s="1"/>
  <c r="G47" i="69" s="1"/>
  <c r="C13" i="69"/>
  <c r="I12" i="69"/>
  <c r="C12" i="69"/>
  <c r="I11" i="69"/>
  <c r="C11" i="69"/>
  <c r="I10" i="69"/>
  <c r="C10" i="69"/>
  <c r="I9" i="69"/>
  <c r="C9" i="69"/>
  <c r="I8" i="69"/>
  <c r="C8" i="69"/>
  <c r="A19" i="68"/>
  <c r="A20" i="68" s="1"/>
  <c r="A21" i="68" s="1"/>
  <c r="A22" i="68" s="1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A38" i="68" s="1"/>
  <c r="A39" i="68" s="1"/>
  <c r="A40" i="68" s="1"/>
  <c r="A41" i="68" s="1"/>
  <c r="A42" i="68" s="1"/>
  <c r="A43" i="68" s="1"/>
  <c r="A44" i="68" s="1"/>
  <c r="A45" i="68" s="1"/>
  <c r="A46" i="68" s="1"/>
  <c r="A47" i="68" s="1"/>
  <c r="G19" i="68" s="1"/>
  <c r="G20" i="68" s="1"/>
  <c r="G21" i="68" s="1"/>
  <c r="G22" i="68" s="1"/>
  <c r="G23" i="68" s="1"/>
  <c r="G24" i="68" s="1"/>
  <c r="G25" i="68" s="1"/>
  <c r="G26" i="68" s="1"/>
  <c r="G27" i="68" s="1"/>
  <c r="G28" i="68" s="1"/>
  <c r="G29" i="68" s="1"/>
  <c r="G30" i="68" s="1"/>
  <c r="G31" i="68" s="1"/>
  <c r="G32" i="68" s="1"/>
  <c r="G33" i="68" s="1"/>
  <c r="G34" i="68" s="1"/>
  <c r="G35" i="68" s="1"/>
  <c r="G36" i="68" s="1"/>
  <c r="G37" i="68" s="1"/>
  <c r="G38" i="68" s="1"/>
  <c r="G39" i="68" s="1"/>
  <c r="G40" i="68" s="1"/>
  <c r="G41" i="68" s="1"/>
  <c r="G42" i="68" s="1"/>
  <c r="G43" i="68" s="1"/>
  <c r="G44" i="68" s="1"/>
  <c r="G45" i="68" s="1"/>
  <c r="G46" i="68" s="1"/>
  <c r="G47" i="68" s="1"/>
  <c r="I12" i="68"/>
  <c r="C12" i="68"/>
  <c r="I11" i="68"/>
  <c r="C11" i="68"/>
  <c r="I10" i="68"/>
  <c r="C10" i="68"/>
  <c r="I9" i="68"/>
  <c r="C9" i="68"/>
  <c r="I8" i="68"/>
  <c r="N6" i="71" l="1"/>
  <c r="N6" i="72"/>
  <c r="N6" i="73"/>
  <c r="N6" i="69"/>
  <c r="N6" i="68"/>
  <c r="C13" i="79"/>
  <c r="G23" i="79"/>
  <c r="G24" i="79" s="1"/>
  <c r="G25" i="79" s="1"/>
  <c r="G26" i="79" s="1"/>
  <c r="G27" i="79" s="1"/>
  <c r="G28" i="79" s="1"/>
  <c r="G29" i="79" s="1"/>
  <c r="G30" i="79" s="1"/>
  <c r="G31" i="79" s="1"/>
  <c r="G32" i="79" s="1"/>
  <c r="G33" i="79" s="1"/>
  <c r="G34" i="79" s="1"/>
  <c r="G35" i="79" s="1"/>
  <c r="G36" i="79" s="1"/>
  <c r="G37" i="79" s="1"/>
  <c r="G38" i="79" s="1"/>
  <c r="G39" i="79" s="1"/>
  <c r="G40" i="79" s="1"/>
  <c r="G41" i="79" s="1"/>
  <c r="G42" i="79" s="1"/>
  <c r="G43" i="79" s="1"/>
  <c r="G44" i="79" s="1"/>
  <c r="G45" i="79" s="1"/>
  <c r="G46" i="79" s="1"/>
  <c r="G47" i="79" s="1"/>
  <c r="G32" i="88"/>
  <c r="G33" i="88" s="1"/>
  <c r="G34" i="88" s="1"/>
  <c r="G35" i="88" s="1"/>
  <c r="G36" i="88" s="1"/>
  <c r="G37" i="88" s="1"/>
  <c r="G38" i="88" s="1"/>
  <c r="G39" i="88" s="1"/>
  <c r="G40" i="88" s="1"/>
  <c r="G41" i="88" s="1"/>
  <c r="G42" i="88" s="1"/>
  <c r="G43" i="88" s="1"/>
  <c r="G44" i="88" s="1"/>
  <c r="G45" i="88" s="1"/>
  <c r="G46" i="88" s="1"/>
  <c r="G47" i="88" s="1"/>
  <c r="C13" i="78"/>
  <c r="C13" i="81"/>
  <c r="C11" i="78"/>
  <c r="C11" i="79"/>
  <c r="C13" i="91"/>
  <c r="G19" i="80"/>
  <c r="G20" i="80" s="1"/>
  <c r="G21" i="80" s="1"/>
  <c r="G22" i="80" s="1"/>
  <c r="G23" i="80" s="1"/>
  <c r="G24" i="80" s="1"/>
  <c r="G25" i="80" s="1"/>
  <c r="G26" i="80" s="1"/>
  <c r="G27" i="80" s="1"/>
  <c r="G28" i="80" s="1"/>
  <c r="G29" i="80" s="1"/>
  <c r="G30" i="80" s="1"/>
  <c r="G31" i="80" s="1"/>
  <c r="G32" i="80" s="1"/>
  <c r="G33" i="80" s="1"/>
  <c r="G34" i="80" s="1"/>
  <c r="G35" i="80" s="1"/>
  <c r="G36" i="80" s="1"/>
  <c r="G37" i="80" s="1"/>
  <c r="G38" i="80" s="1"/>
  <c r="G39" i="80" s="1"/>
  <c r="G40" i="80" s="1"/>
  <c r="G41" i="80" s="1"/>
  <c r="G42" i="80" s="1"/>
  <c r="G43" i="80" s="1"/>
  <c r="G44" i="80" s="1"/>
  <c r="G45" i="80" s="1"/>
  <c r="G46" i="80" s="1"/>
  <c r="G47" i="80" s="1"/>
  <c r="C11" i="96"/>
  <c r="C11" i="95"/>
  <c r="C13" i="93"/>
  <c r="C13" i="87"/>
  <c r="C13" i="80"/>
  <c r="C11" i="82"/>
  <c r="C13" i="85"/>
  <c r="C11" i="86"/>
  <c r="C11" i="80"/>
  <c r="C13" i="95"/>
  <c r="C13" i="94"/>
  <c r="C11" i="89"/>
  <c r="C11" i="81"/>
  <c r="C13" i="92"/>
  <c r="C11" i="83"/>
  <c r="C13" i="96"/>
  <c r="C13" i="82"/>
  <c r="C11" i="93"/>
  <c r="C9" i="78"/>
  <c r="C11" i="92"/>
  <c r="C13" i="90"/>
  <c r="C11" i="91"/>
  <c r="C13" i="89"/>
  <c r="C11" i="94"/>
  <c r="C11" i="85"/>
  <c r="C11" i="90"/>
  <c r="C13" i="88"/>
  <c r="C12" i="78"/>
  <c r="C10" i="78"/>
  <c r="C11" i="88"/>
  <c r="C13" i="86"/>
  <c r="C11" i="87"/>
  <c r="C13" i="84"/>
  <c r="C8" i="78"/>
  <c r="C11" i="84"/>
  <c r="C13" i="83"/>
  <c r="C14" i="85"/>
  <c r="C14" i="74"/>
  <c r="N6" i="74" s="1"/>
  <c r="I13" i="84"/>
  <c r="L13" i="72"/>
  <c r="K13" i="73" s="1"/>
  <c r="L13" i="73" s="1"/>
  <c r="K13" i="74" s="1"/>
  <c r="L13" i="74" s="1"/>
  <c r="K13" i="75" s="1"/>
  <c r="L13" i="75" s="1"/>
  <c r="K13" i="76" s="1"/>
  <c r="L13" i="76" s="1"/>
  <c r="K13" i="77" s="1"/>
  <c r="L13" i="77" s="1"/>
  <c r="K13" i="78" s="1"/>
  <c r="L13" i="78" s="1"/>
  <c r="K13" i="79" s="1"/>
  <c r="L13" i="79" s="1"/>
  <c r="K13" i="80" s="1"/>
  <c r="L13" i="80" s="1"/>
  <c r="K13" i="81" s="1"/>
  <c r="L13" i="81" s="1"/>
  <c r="K13" i="82" s="1"/>
  <c r="L13" i="82" s="1"/>
  <c r="K13" i="83" s="1"/>
  <c r="L13" i="83" s="1"/>
  <c r="K13" i="84" s="1"/>
  <c r="G37" i="78"/>
  <c r="G38" i="78" s="1"/>
  <c r="G39" i="78" s="1"/>
  <c r="G40" i="78" s="1"/>
  <c r="G41" i="78" s="1"/>
  <c r="G42" i="78" s="1"/>
  <c r="G43" i="78" s="1"/>
  <c r="G44" i="78" s="1"/>
  <c r="G45" i="78" s="1"/>
  <c r="G46" i="78" s="1"/>
  <c r="G47" i="78" s="1"/>
  <c r="G33" i="76"/>
  <c r="G34" i="76" s="1"/>
  <c r="G35" i="76" s="1"/>
  <c r="G36" i="76" s="1"/>
  <c r="G37" i="76" s="1"/>
  <c r="G38" i="76" s="1"/>
  <c r="G39" i="76" s="1"/>
  <c r="G40" i="76" s="1"/>
  <c r="G41" i="76" s="1"/>
  <c r="G42" i="76" s="1"/>
  <c r="G43" i="76" s="1"/>
  <c r="G44" i="76" s="1"/>
  <c r="G45" i="76" s="1"/>
  <c r="G46" i="76" s="1"/>
  <c r="G47" i="76" s="1"/>
  <c r="G42" i="85"/>
  <c r="G43" i="85" s="1"/>
  <c r="G44" i="85" s="1"/>
  <c r="G45" i="85" s="1"/>
  <c r="G46" i="85" s="1"/>
  <c r="G47" i="85" s="1"/>
  <c r="N6" i="78" l="1"/>
  <c r="C10" i="79"/>
  <c r="C9" i="79"/>
  <c r="C14" i="86"/>
  <c r="C12" i="79"/>
  <c r="C8" i="79"/>
  <c r="N6" i="79" s="1"/>
  <c r="C14" i="75"/>
  <c r="N6" i="75" s="1"/>
  <c r="L13" i="84"/>
  <c r="K13" i="85" s="1"/>
  <c r="I13" i="85"/>
  <c r="L13" i="90"/>
  <c r="K13" i="91" s="1"/>
  <c r="L13" i="91" s="1"/>
  <c r="K13" i="92" s="1"/>
  <c r="L13" i="92" s="1"/>
  <c r="K13" i="93" s="1"/>
  <c r="L13" i="93" s="1"/>
  <c r="K13" i="94" s="1"/>
  <c r="L13" i="94" s="1"/>
  <c r="K13" i="95" s="1"/>
  <c r="L13" i="95" s="1"/>
  <c r="K13" i="96" s="1"/>
  <c r="L13" i="96" s="1"/>
  <c r="K13" i="97" s="1"/>
  <c r="L13" i="97" s="1"/>
  <c r="C5" i="68"/>
  <c r="E33" i="35"/>
  <c r="AJ33" i="35" s="1"/>
  <c r="E35" i="35"/>
  <c r="AJ35" i="35" s="1"/>
  <c r="E34" i="35"/>
  <c r="AJ34" i="35" s="1"/>
  <c r="E32" i="35"/>
  <c r="AJ32" i="35" s="1"/>
  <c r="E31" i="35"/>
  <c r="AJ31" i="35" s="1"/>
  <c r="E30" i="35"/>
  <c r="AJ30" i="35" s="1"/>
  <c r="E29" i="35"/>
  <c r="AJ29" i="35" s="1"/>
  <c r="E28" i="35"/>
  <c r="AJ28" i="35" s="1"/>
  <c r="E27" i="35"/>
  <c r="AJ27" i="35" s="1"/>
  <c r="E26" i="35"/>
  <c r="AJ26" i="35" s="1"/>
  <c r="E25" i="35"/>
  <c r="AJ25" i="35" s="1"/>
  <c r="E24" i="35"/>
  <c r="AJ24" i="35" s="1"/>
  <c r="E23" i="35"/>
  <c r="AJ23" i="35" s="1"/>
  <c r="E22" i="35"/>
  <c r="AJ22" i="35" s="1"/>
  <c r="E21" i="35"/>
  <c r="AJ21" i="35" s="1"/>
  <c r="E20" i="35"/>
  <c r="AJ20" i="35" s="1"/>
  <c r="E19" i="35"/>
  <c r="AJ19" i="35" s="1"/>
  <c r="E18" i="35"/>
  <c r="AJ18" i="35" s="1"/>
  <c r="E17" i="35"/>
  <c r="AJ17" i="35" s="1"/>
  <c r="E16" i="35"/>
  <c r="AJ16" i="35" s="1"/>
  <c r="E15" i="35"/>
  <c r="AJ15" i="35" s="1"/>
  <c r="E14" i="35"/>
  <c r="AJ14" i="35" s="1"/>
  <c r="E13" i="35"/>
  <c r="AJ13" i="35" s="1"/>
  <c r="E12" i="35"/>
  <c r="AJ12" i="35" s="1"/>
  <c r="E11" i="35"/>
  <c r="AJ11" i="35" s="1"/>
  <c r="E10" i="35"/>
  <c r="AJ10" i="35" s="1"/>
  <c r="E9" i="35"/>
  <c r="AJ9" i="35" s="1"/>
  <c r="E8" i="35"/>
  <c r="AJ8" i="35" s="1"/>
  <c r="E7" i="35"/>
  <c r="AJ7" i="35" s="1"/>
  <c r="E6" i="35"/>
  <c r="AJ6" i="35" s="1"/>
  <c r="E5" i="35"/>
  <c r="AJ5" i="35" s="1"/>
  <c r="C8" i="1"/>
  <c r="C8" i="80" l="1"/>
  <c r="C12" i="80"/>
  <c r="C14" i="87"/>
  <c r="C9" i="80"/>
  <c r="C10" i="80"/>
  <c r="C14" i="77"/>
  <c r="N6" i="77" s="1"/>
  <c r="C14" i="76"/>
  <c r="N6" i="76" s="1"/>
  <c r="I13" i="86"/>
  <c r="L13" i="85"/>
  <c r="K13" i="86" s="1"/>
  <c r="C5" i="69"/>
  <c r="C5" i="70" s="1"/>
  <c r="C5" i="71" s="1"/>
  <c r="C5" i="72" s="1"/>
  <c r="C5" i="73" s="1"/>
  <c r="C5" i="74" s="1"/>
  <c r="C5" i="75" s="1"/>
  <c r="C5" i="76" s="1"/>
  <c r="C5" i="77" s="1"/>
  <c r="C5" i="78" s="1"/>
  <c r="C5" i="79" s="1"/>
  <c r="C5" i="80" s="1"/>
  <c r="C5" i="81" s="1"/>
  <c r="C5" i="82" s="1"/>
  <c r="C5" i="83" s="1"/>
  <c r="C5" i="84" s="1"/>
  <c r="C5" i="85" s="1"/>
  <c r="C5" i="86" s="1"/>
  <c r="C5" i="87" s="1"/>
  <c r="C5" i="88" s="1"/>
  <c r="C5" i="89" s="1"/>
  <c r="C5" i="90" s="1"/>
  <c r="C5" i="91" s="1"/>
  <c r="C5" i="92" s="1"/>
  <c r="C5" i="93" s="1"/>
  <c r="C5" i="94" s="1"/>
  <c r="C5" i="95" s="1"/>
  <c r="C5" i="96" s="1"/>
  <c r="C5" i="97" s="1"/>
  <c r="E205" i="35"/>
  <c r="N6" i="80" l="1"/>
  <c r="C10" i="81"/>
  <c r="C9" i="81"/>
  <c r="C14" i="88"/>
  <c r="C12" i="81"/>
  <c r="C8" i="81"/>
  <c r="N6" i="81" s="1"/>
  <c r="L13" i="86"/>
  <c r="K13" i="87" s="1"/>
  <c r="I13" i="88"/>
  <c r="I13" i="87"/>
  <c r="AJ204" i="35"/>
  <c r="C14" i="89" l="1"/>
  <c r="C8" i="82"/>
  <c r="C12" i="82"/>
  <c r="C9" i="82"/>
  <c r="C10" i="82"/>
  <c r="L13" i="87"/>
  <c r="K13" i="88" s="1"/>
  <c r="L13" i="88" s="1"/>
  <c r="K13" i="89" s="1"/>
  <c r="L13" i="89" s="1"/>
  <c r="E4" i="35"/>
  <c r="F4" i="35" s="1"/>
  <c r="G4" i="35" s="1"/>
  <c r="H4" i="35" s="1"/>
  <c r="I4" i="35" s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AC4" i="35" s="1"/>
  <c r="AD4" i="35" s="1"/>
  <c r="AE4" i="35" s="1"/>
  <c r="AF4" i="35" s="1"/>
  <c r="AG4" i="35" s="1"/>
  <c r="AH4" i="35" s="1"/>
  <c r="AI4" i="35" s="1"/>
  <c r="I12" i="1"/>
  <c r="L12" i="1" s="1"/>
  <c r="K12" i="68" s="1"/>
  <c r="L12" i="68" s="1"/>
  <c r="K12" i="69" s="1"/>
  <c r="L12" i="69" s="1"/>
  <c r="K12" i="70" s="1"/>
  <c r="I11" i="1"/>
  <c r="L11" i="1" s="1"/>
  <c r="K11" i="68" s="1"/>
  <c r="L11" i="68" s="1"/>
  <c r="K11" i="69" s="1"/>
  <c r="L11" i="69" s="1"/>
  <c r="K11" i="70" s="1"/>
  <c r="I10" i="1"/>
  <c r="L10" i="1" s="1"/>
  <c r="K10" i="68" s="1"/>
  <c r="L10" i="68" s="1"/>
  <c r="K10" i="69" s="1"/>
  <c r="L10" i="69" s="1"/>
  <c r="K10" i="70" s="1"/>
  <c r="I9" i="1"/>
  <c r="L9" i="1" s="1"/>
  <c r="K9" i="68" s="1"/>
  <c r="L9" i="68" s="1"/>
  <c r="K9" i="69" s="1"/>
  <c r="L9" i="69" s="1"/>
  <c r="K9" i="70" s="1"/>
  <c r="I8" i="1"/>
  <c r="L8" i="1" s="1"/>
  <c r="K8" i="68" s="1"/>
  <c r="L8" i="68" s="1"/>
  <c r="K8" i="69" s="1"/>
  <c r="L8" i="69" s="1"/>
  <c r="K8" i="70" s="1"/>
  <c r="C13" i="1"/>
  <c r="F13" i="1" s="1"/>
  <c r="C12" i="1"/>
  <c r="F12" i="1" s="1"/>
  <c r="E12" i="68" s="1"/>
  <c r="F12" i="68" s="1"/>
  <c r="E12" i="69" s="1"/>
  <c r="F12" i="69" s="1"/>
  <c r="E12" i="70" s="1"/>
  <c r="C11" i="1"/>
  <c r="F11" i="1" s="1"/>
  <c r="E11" i="68" s="1"/>
  <c r="F11" i="68" s="1"/>
  <c r="E11" i="69" s="1"/>
  <c r="F11" i="69" s="1"/>
  <c r="E11" i="70" s="1"/>
  <c r="C10" i="1"/>
  <c r="F10" i="1" s="1"/>
  <c r="E10" i="68" s="1"/>
  <c r="F10" i="68" s="1"/>
  <c r="E10" i="69" s="1"/>
  <c r="F10" i="69" s="1"/>
  <c r="E10" i="70" s="1"/>
  <c r="C9" i="1"/>
  <c r="F9" i="1" s="1"/>
  <c r="E9" i="68" s="1"/>
  <c r="F9" i="68" s="1"/>
  <c r="E9" i="69" s="1"/>
  <c r="F9" i="69" s="1"/>
  <c r="E9" i="70" s="1"/>
  <c r="F8" i="1"/>
  <c r="E8" i="68" s="1"/>
  <c r="F8" i="68" s="1"/>
  <c r="E8" i="69" s="1"/>
  <c r="F8" i="69" s="1"/>
  <c r="E8" i="70" s="1"/>
  <c r="N6" i="82" l="1"/>
  <c r="E13" i="68"/>
  <c r="F13" i="68" s="1"/>
  <c r="E13" i="69" s="1"/>
  <c r="F13" i="69" s="1"/>
  <c r="E13" i="70" s="1"/>
  <c r="C9" i="83"/>
  <c r="C10" i="83"/>
  <c r="C12" i="83"/>
  <c r="C8" i="83"/>
  <c r="N6" i="83" s="1"/>
  <c r="C14" i="90"/>
  <c r="L205" i="35"/>
  <c r="X205" i="35"/>
  <c r="F205" i="35"/>
  <c r="R205" i="35"/>
  <c r="AD205" i="35"/>
  <c r="G205" i="35"/>
  <c r="M205" i="35"/>
  <c r="S205" i="35"/>
  <c r="Y205" i="35"/>
  <c r="AE205" i="35"/>
  <c r="Z205" i="35"/>
  <c r="T205" i="35"/>
  <c r="I205" i="35"/>
  <c r="O205" i="35"/>
  <c r="U205" i="35"/>
  <c r="AA205" i="35"/>
  <c r="AG205" i="35"/>
  <c r="H205" i="35"/>
  <c r="AF205" i="35"/>
  <c r="J205" i="35"/>
  <c r="V205" i="35"/>
  <c r="AH205" i="35"/>
  <c r="N205" i="35"/>
  <c r="P205" i="35"/>
  <c r="AB205" i="35"/>
  <c r="E206" i="35"/>
  <c r="K205" i="35"/>
  <c r="Q205" i="35"/>
  <c r="W205" i="35"/>
  <c r="AC205" i="35"/>
  <c r="AI205" i="35"/>
  <c r="C9" i="84" l="1"/>
  <c r="C14" i="91"/>
  <c r="C12" i="84"/>
  <c r="C8" i="84"/>
  <c r="C10" i="84"/>
  <c r="AJ205" i="35"/>
  <c r="F206" i="35"/>
  <c r="G206" i="35" s="1"/>
  <c r="H206" i="35" s="1"/>
  <c r="I206" i="35" s="1"/>
  <c r="J206" i="35" s="1"/>
  <c r="K206" i="35" s="1"/>
  <c r="L206" i="35" s="1"/>
  <c r="M206" i="35" s="1"/>
  <c r="N206" i="35" s="1"/>
  <c r="O206" i="35" s="1"/>
  <c r="P206" i="35" s="1"/>
  <c r="Q206" i="35" s="1"/>
  <c r="R206" i="35" s="1"/>
  <c r="S206" i="35" s="1"/>
  <c r="T206" i="35" s="1"/>
  <c r="U206" i="35" s="1"/>
  <c r="V206" i="35" s="1"/>
  <c r="W206" i="35" s="1"/>
  <c r="X206" i="35" s="1"/>
  <c r="Y206" i="35" s="1"/>
  <c r="Z206" i="35" s="1"/>
  <c r="AA206" i="35" s="1"/>
  <c r="AB206" i="35" s="1"/>
  <c r="AC206" i="35" s="1"/>
  <c r="AD206" i="35" s="1"/>
  <c r="AE206" i="35" s="1"/>
  <c r="AF206" i="35" s="1"/>
  <c r="AG206" i="35" s="1"/>
  <c r="AH206" i="35" s="1"/>
  <c r="AI206" i="35" s="1"/>
  <c r="AJ206" i="35" s="1"/>
  <c r="N6" i="84" l="1"/>
  <c r="C12" i="85"/>
  <c r="C10" i="85"/>
  <c r="C8" i="85"/>
  <c r="C14" i="92"/>
  <c r="C9" i="85"/>
  <c r="A19" i="1"/>
  <c r="A20" i="1" s="1"/>
  <c r="A21" i="1" s="1"/>
  <c r="A22" i="1" s="1"/>
  <c r="A23" i="1" s="1"/>
  <c r="A24" i="1" s="1"/>
  <c r="A25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N6" i="85" l="1"/>
  <c r="C14" i="95"/>
  <c r="C14" i="93"/>
  <c r="C9" i="86"/>
  <c r="C8" i="86"/>
  <c r="C10" i="86"/>
  <c r="C12" i="86"/>
  <c r="G19" i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N6" i="86" l="1"/>
  <c r="C14" i="94"/>
  <c r="C12" i="87"/>
  <c r="C10" i="87"/>
  <c r="C8" i="87"/>
  <c r="C9" i="87"/>
  <c r="I8" i="70"/>
  <c r="L8" i="70" s="1"/>
  <c r="K8" i="71" s="1"/>
  <c r="L8" i="71" s="1"/>
  <c r="C12" i="70"/>
  <c r="F12" i="70" s="1"/>
  <c r="E12" i="71" s="1"/>
  <c r="F12" i="71" s="1"/>
  <c r="N6" i="87" l="1"/>
  <c r="E12" i="72"/>
  <c r="F12" i="72" s="1"/>
  <c r="E12" i="73" s="1"/>
  <c r="F12" i="73" s="1"/>
  <c r="E12" i="74" s="1"/>
  <c r="F12" i="74" s="1"/>
  <c r="E12" i="75" s="1"/>
  <c r="F12" i="75" s="1"/>
  <c r="E12" i="76" s="1"/>
  <c r="F12" i="76" s="1"/>
  <c r="E12" i="77" s="1"/>
  <c r="F12" i="77" s="1"/>
  <c r="E12" i="78" s="1"/>
  <c r="F12" i="78" s="1"/>
  <c r="E12" i="79" s="1"/>
  <c r="F12" i="79" s="1"/>
  <c r="E12" i="80" s="1"/>
  <c r="F12" i="80" s="1"/>
  <c r="E12" i="81" s="1"/>
  <c r="F12" i="81" s="1"/>
  <c r="E12" i="82" s="1"/>
  <c r="F12" i="82" s="1"/>
  <c r="E12" i="83" s="1"/>
  <c r="F12" i="83" s="1"/>
  <c r="E12" i="84" s="1"/>
  <c r="F12" i="84" s="1"/>
  <c r="E12" i="85" s="1"/>
  <c r="F12" i="85" s="1"/>
  <c r="E12" i="86" s="1"/>
  <c r="F12" i="86" s="1"/>
  <c r="E12" i="87" s="1"/>
  <c r="F12" i="87" s="1"/>
  <c r="E12" i="88" s="1"/>
  <c r="C9" i="88"/>
  <c r="C8" i="88"/>
  <c r="C10" i="88"/>
  <c r="C12" i="88"/>
  <c r="F14" i="72"/>
  <c r="E14" i="73" s="1"/>
  <c r="F14" i="73" s="1"/>
  <c r="E14" i="74" s="1"/>
  <c r="F14" i="74" s="1"/>
  <c r="E14" i="75" s="1"/>
  <c r="F14" i="75" s="1"/>
  <c r="E14" i="76" s="1"/>
  <c r="F14" i="76" s="1"/>
  <c r="E14" i="77" s="1"/>
  <c r="F14" i="77" s="1"/>
  <c r="E14" i="78" s="1"/>
  <c r="F14" i="78" s="1"/>
  <c r="E14" i="79" s="1"/>
  <c r="F14" i="79" s="1"/>
  <c r="E14" i="80" s="1"/>
  <c r="F14" i="80" s="1"/>
  <c r="E14" i="81" s="1"/>
  <c r="F14" i="81" s="1"/>
  <c r="E14" i="82" s="1"/>
  <c r="F14" i="82" s="1"/>
  <c r="E14" i="83" s="1"/>
  <c r="F14" i="83" s="1"/>
  <c r="E14" i="84" s="1"/>
  <c r="F14" i="84" s="1"/>
  <c r="E14" i="85" s="1"/>
  <c r="F14" i="85" s="1"/>
  <c r="E14" i="86" s="1"/>
  <c r="F14" i="86" s="1"/>
  <c r="E14" i="87" s="1"/>
  <c r="F14" i="87" s="1"/>
  <c r="E14" i="88" s="1"/>
  <c r="F14" i="88" s="1"/>
  <c r="E14" i="89" s="1"/>
  <c r="F14" i="89" s="1"/>
  <c r="E14" i="90" s="1"/>
  <c r="F14" i="90" s="1"/>
  <c r="E14" i="91" s="1"/>
  <c r="F14" i="91" s="1"/>
  <c r="E14" i="92" s="1"/>
  <c r="F14" i="92" s="1"/>
  <c r="E14" i="93" s="1"/>
  <c r="F14" i="93" s="1"/>
  <c r="E14" i="94" s="1"/>
  <c r="F14" i="94" s="1"/>
  <c r="E14" i="95" s="1"/>
  <c r="F14" i="95" s="1"/>
  <c r="C11" i="70"/>
  <c r="F11" i="70" s="1"/>
  <c r="E11" i="71" s="1"/>
  <c r="F11" i="71" s="1"/>
  <c r="C9" i="70"/>
  <c r="F9" i="70" s="1"/>
  <c r="E9" i="71" s="1"/>
  <c r="F9" i="71" s="1"/>
  <c r="I12" i="70"/>
  <c r="L12" i="70" s="1"/>
  <c r="K12" i="71" s="1"/>
  <c r="L12" i="71" s="1"/>
  <c r="K12" i="72" s="1"/>
  <c r="I10" i="70"/>
  <c r="L10" i="70" s="1"/>
  <c r="K10" i="71" s="1"/>
  <c r="L10" i="71" s="1"/>
  <c r="I9" i="70"/>
  <c r="L9" i="70" s="1"/>
  <c r="K9" i="71" s="1"/>
  <c r="L9" i="71" s="1"/>
  <c r="I11" i="70"/>
  <c r="L11" i="70" s="1"/>
  <c r="K11" i="71" s="1"/>
  <c r="L11" i="71" s="1"/>
  <c r="C13" i="70"/>
  <c r="F13" i="70" s="1"/>
  <c r="E13" i="71" s="1"/>
  <c r="F13" i="71" s="1"/>
  <c r="C8" i="70"/>
  <c r="C10" i="70"/>
  <c r="F10" i="70" s="1"/>
  <c r="E10" i="71" s="1"/>
  <c r="F10" i="71" s="1"/>
  <c r="N6" i="88" l="1"/>
  <c r="F8" i="70"/>
  <c r="E8" i="71" s="1"/>
  <c r="F8" i="71" s="1"/>
  <c r="E8" i="72" s="1"/>
  <c r="F8" i="72" s="1"/>
  <c r="E8" i="73" s="1"/>
  <c r="F8" i="73" s="1"/>
  <c r="E8" i="74" s="1"/>
  <c r="F8" i="74" s="1"/>
  <c r="E8" i="75" s="1"/>
  <c r="F8" i="75" s="1"/>
  <c r="E8" i="76" s="1"/>
  <c r="F8" i="76" s="1"/>
  <c r="E8" i="77" s="1"/>
  <c r="F8" i="77" s="1"/>
  <c r="E8" i="78" s="1"/>
  <c r="F8" i="78" s="1"/>
  <c r="E8" i="79" s="1"/>
  <c r="F8" i="79" s="1"/>
  <c r="E8" i="80" s="1"/>
  <c r="F8" i="80" s="1"/>
  <c r="E8" i="81" s="1"/>
  <c r="F8" i="81" s="1"/>
  <c r="E8" i="82" s="1"/>
  <c r="F8" i="82" s="1"/>
  <c r="E8" i="83" s="1"/>
  <c r="F8" i="83" s="1"/>
  <c r="E8" i="84" s="1"/>
  <c r="F8" i="84" s="1"/>
  <c r="E8" i="85" s="1"/>
  <c r="F8" i="85" s="1"/>
  <c r="E8" i="86" s="1"/>
  <c r="F8" i="86" s="1"/>
  <c r="E8" i="87" s="1"/>
  <c r="F8" i="87" s="1"/>
  <c r="E8" i="88" s="1"/>
  <c r="F8" i="88" s="1"/>
  <c r="E8" i="89" s="1"/>
  <c r="N6" i="70"/>
  <c r="E10" i="72"/>
  <c r="F10" i="72" s="1"/>
  <c r="E10" i="73" s="1"/>
  <c r="F10" i="73" s="1"/>
  <c r="E10" i="74" s="1"/>
  <c r="F10" i="74" s="1"/>
  <c r="E10" i="75" s="1"/>
  <c r="F10" i="75" s="1"/>
  <c r="E10" i="76" s="1"/>
  <c r="F10" i="76" s="1"/>
  <c r="E10" i="77" s="1"/>
  <c r="F10" i="77" s="1"/>
  <c r="E10" i="78" s="1"/>
  <c r="F10" i="78" s="1"/>
  <c r="E10" i="79" s="1"/>
  <c r="F10" i="79" s="1"/>
  <c r="E10" i="80" s="1"/>
  <c r="F10" i="80" s="1"/>
  <c r="E10" i="81" s="1"/>
  <c r="F10" i="81" s="1"/>
  <c r="E10" i="82" s="1"/>
  <c r="F10" i="82" s="1"/>
  <c r="E10" i="83" s="1"/>
  <c r="F10" i="83" s="1"/>
  <c r="E10" i="84" s="1"/>
  <c r="F10" i="84" s="1"/>
  <c r="E10" i="85" s="1"/>
  <c r="F10" i="85" s="1"/>
  <c r="E10" i="86" s="1"/>
  <c r="F10" i="86" s="1"/>
  <c r="E10" i="87" s="1"/>
  <c r="F10" i="87" s="1"/>
  <c r="E10" i="88" s="1"/>
  <c r="F10" i="88" s="1"/>
  <c r="E10" i="89" s="1"/>
  <c r="E13" i="72"/>
  <c r="F13" i="72" s="1"/>
  <c r="E13" i="73" s="1"/>
  <c r="F13" i="73" s="1"/>
  <c r="E13" i="74" s="1"/>
  <c r="F13" i="74" s="1"/>
  <c r="E13" i="75" s="1"/>
  <c r="F13" i="75" s="1"/>
  <c r="E13" i="76" s="1"/>
  <c r="F13" i="76" s="1"/>
  <c r="E13" i="77" s="1"/>
  <c r="F13" i="77" s="1"/>
  <c r="E13" i="78" s="1"/>
  <c r="F13" i="78" s="1"/>
  <c r="E13" i="79" s="1"/>
  <c r="F13" i="79" s="1"/>
  <c r="E13" i="80" s="1"/>
  <c r="F13" i="80" s="1"/>
  <c r="E13" i="81" s="1"/>
  <c r="F13" i="81" s="1"/>
  <c r="E13" i="82" s="1"/>
  <c r="F13" i="82" s="1"/>
  <c r="E13" i="83" s="1"/>
  <c r="F13" i="83" s="1"/>
  <c r="E13" i="84" s="1"/>
  <c r="F13" i="84" s="1"/>
  <c r="E13" i="85" s="1"/>
  <c r="F13" i="85" s="1"/>
  <c r="E13" i="86" s="1"/>
  <c r="F13" i="86" s="1"/>
  <c r="E13" i="87" s="1"/>
  <c r="F13" i="87" s="1"/>
  <c r="E13" i="88" s="1"/>
  <c r="F13" i="88" s="1"/>
  <c r="E13" i="89" s="1"/>
  <c r="F13" i="89" s="1"/>
  <c r="E13" i="90" s="1"/>
  <c r="F13" i="90" s="1"/>
  <c r="E13" i="91" s="1"/>
  <c r="F13" i="91" s="1"/>
  <c r="E13" i="92" s="1"/>
  <c r="F13" i="92" s="1"/>
  <c r="E13" i="93" s="1"/>
  <c r="F13" i="93" s="1"/>
  <c r="E13" i="94" s="1"/>
  <c r="F13" i="94" s="1"/>
  <c r="E13" i="95" s="1"/>
  <c r="F13" i="95" s="1"/>
  <c r="E13" i="96" s="1"/>
  <c r="F13" i="96" s="1"/>
  <c r="E13" i="97" s="1"/>
  <c r="F13" i="97" s="1"/>
  <c r="E9" i="72"/>
  <c r="F9" i="72" s="1"/>
  <c r="E9" i="73" s="1"/>
  <c r="F9" i="73" s="1"/>
  <c r="E9" i="74" s="1"/>
  <c r="F9" i="74" s="1"/>
  <c r="E9" i="75" s="1"/>
  <c r="F9" i="75" s="1"/>
  <c r="E9" i="76" s="1"/>
  <c r="F9" i="76" s="1"/>
  <c r="E9" i="77" s="1"/>
  <c r="F9" i="77" s="1"/>
  <c r="E9" i="78" s="1"/>
  <c r="F9" i="78" s="1"/>
  <c r="E9" i="79" s="1"/>
  <c r="F9" i="79" s="1"/>
  <c r="E9" i="80" s="1"/>
  <c r="F9" i="80" s="1"/>
  <c r="E9" i="81" s="1"/>
  <c r="F9" i="81" s="1"/>
  <c r="E9" i="82" s="1"/>
  <c r="F9" i="82" s="1"/>
  <c r="E9" i="83" s="1"/>
  <c r="F9" i="83" s="1"/>
  <c r="E9" i="84" s="1"/>
  <c r="F9" i="84" s="1"/>
  <c r="E9" i="85" s="1"/>
  <c r="F9" i="85" s="1"/>
  <c r="E9" i="86" s="1"/>
  <c r="F9" i="86" s="1"/>
  <c r="E9" i="87" s="1"/>
  <c r="F9" i="87" s="1"/>
  <c r="E9" i="88" s="1"/>
  <c r="F9" i="88" s="1"/>
  <c r="E9" i="89" s="1"/>
  <c r="E11" i="72"/>
  <c r="F11" i="72" s="1"/>
  <c r="E11" i="73" s="1"/>
  <c r="F11" i="73" s="1"/>
  <c r="E11" i="74" s="1"/>
  <c r="F11" i="74" s="1"/>
  <c r="E11" i="75" s="1"/>
  <c r="F11" i="75" s="1"/>
  <c r="E11" i="76" s="1"/>
  <c r="F11" i="76" s="1"/>
  <c r="E11" i="77" s="1"/>
  <c r="F11" i="77" s="1"/>
  <c r="E11" i="78" s="1"/>
  <c r="F11" i="78" s="1"/>
  <c r="E11" i="79" s="1"/>
  <c r="F11" i="79" s="1"/>
  <c r="E11" i="80" s="1"/>
  <c r="F11" i="80" s="1"/>
  <c r="E11" i="81" s="1"/>
  <c r="F11" i="81" s="1"/>
  <c r="E11" i="82" s="1"/>
  <c r="F11" i="82" s="1"/>
  <c r="E11" i="83" s="1"/>
  <c r="F11" i="83" s="1"/>
  <c r="E11" i="84" s="1"/>
  <c r="F11" i="84" s="1"/>
  <c r="E11" i="85" s="1"/>
  <c r="F11" i="85" s="1"/>
  <c r="E11" i="86" s="1"/>
  <c r="F11" i="86" s="1"/>
  <c r="E11" i="87" s="1"/>
  <c r="F11" i="87" s="1"/>
  <c r="E11" i="88" s="1"/>
  <c r="F11" i="88" s="1"/>
  <c r="E11" i="89" s="1"/>
  <c r="F11" i="89" s="1"/>
  <c r="E11" i="90" s="1"/>
  <c r="F11" i="90" s="1"/>
  <c r="E11" i="91" s="1"/>
  <c r="F11" i="91" s="1"/>
  <c r="E11" i="92" s="1"/>
  <c r="F11" i="92" s="1"/>
  <c r="E11" i="93" s="1"/>
  <c r="F11" i="93" s="1"/>
  <c r="E11" i="94" s="1"/>
  <c r="F11" i="94" s="1"/>
  <c r="E11" i="95" s="1"/>
  <c r="F11" i="95" s="1"/>
  <c r="E11" i="96" s="1"/>
  <c r="F11" i="96" s="1"/>
  <c r="E11" i="97" s="1"/>
  <c r="F11" i="97" s="1"/>
  <c r="F12" i="88"/>
  <c r="E12" i="89" s="1"/>
  <c r="C14" i="96"/>
  <c r="C14" i="97"/>
  <c r="C10" i="89"/>
  <c r="C12" i="89"/>
  <c r="E14" i="96"/>
  <c r="C8" i="89"/>
  <c r="C9" i="89"/>
  <c r="K10" i="72"/>
  <c r="L10" i="72" s="1"/>
  <c r="K10" i="73" s="1"/>
  <c r="L10" i="73" s="1"/>
  <c r="K10" i="74" s="1"/>
  <c r="L10" i="74" s="1"/>
  <c r="K10" i="75" s="1"/>
  <c r="L10" i="75" s="1"/>
  <c r="K10" i="76" s="1"/>
  <c r="L10" i="76" s="1"/>
  <c r="K10" i="77" s="1"/>
  <c r="L10" i="77" s="1"/>
  <c r="K10" i="78" s="1"/>
  <c r="L10" i="78" s="1"/>
  <c r="K10" i="79" s="1"/>
  <c r="L10" i="79" s="1"/>
  <c r="K10" i="80" s="1"/>
  <c r="L10" i="80" s="1"/>
  <c r="K10" i="81" s="1"/>
  <c r="L10" i="81" s="1"/>
  <c r="K10" i="82" s="1"/>
  <c r="L10" i="82" s="1"/>
  <c r="K10" i="83" s="1"/>
  <c r="L10" i="83" s="1"/>
  <c r="K10" i="84" s="1"/>
  <c r="L10" i="84" s="1"/>
  <c r="K10" i="85" s="1"/>
  <c r="L10" i="85" s="1"/>
  <c r="K10" i="86" s="1"/>
  <c r="L10" i="86" s="1"/>
  <c r="K10" i="87" s="1"/>
  <c r="L10" i="87" s="1"/>
  <c r="K10" i="88" s="1"/>
  <c r="L10" i="88" s="1"/>
  <c r="K10" i="89" s="1"/>
  <c r="L10" i="89" s="1"/>
  <c r="K10" i="90" s="1"/>
  <c r="K8" i="72"/>
  <c r="L8" i="72" s="1"/>
  <c r="K8" i="73" s="1"/>
  <c r="L8" i="73" s="1"/>
  <c r="K8" i="74" s="1"/>
  <c r="L8" i="74" s="1"/>
  <c r="K8" i="75" s="1"/>
  <c r="L8" i="75" s="1"/>
  <c r="K8" i="76" s="1"/>
  <c r="L8" i="76" s="1"/>
  <c r="K8" i="77" s="1"/>
  <c r="L8" i="77" s="1"/>
  <c r="K8" i="78" s="1"/>
  <c r="L8" i="78" s="1"/>
  <c r="K8" i="79" s="1"/>
  <c r="L8" i="79" s="1"/>
  <c r="K8" i="80" s="1"/>
  <c r="L8" i="80" s="1"/>
  <c r="K8" i="81" s="1"/>
  <c r="L8" i="81" s="1"/>
  <c r="K8" i="82" s="1"/>
  <c r="L8" i="82" s="1"/>
  <c r="K8" i="83" s="1"/>
  <c r="L8" i="83" s="1"/>
  <c r="K8" i="84" s="1"/>
  <c r="L8" i="84" s="1"/>
  <c r="K8" i="85" s="1"/>
  <c r="L8" i="85" s="1"/>
  <c r="K8" i="86" s="1"/>
  <c r="L8" i="86" s="1"/>
  <c r="K8" i="87" s="1"/>
  <c r="L8" i="87" s="1"/>
  <c r="K8" i="88" s="1"/>
  <c r="L8" i="88" s="1"/>
  <c r="K8" i="89" s="1"/>
  <c r="L8" i="89" s="1"/>
  <c r="K8" i="90" s="1"/>
  <c r="K9" i="72"/>
  <c r="L9" i="72" s="1"/>
  <c r="K9" i="73" s="1"/>
  <c r="L9" i="73" s="1"/>
  <c r="K9" i="74" s="1"/>
  <c r="L9" i="74" s="1"/>
  <c r="K9" i="75" s="1"/>
  <c r="L9" i="75" s="1"/>
  <c r="K9" i="76" s="1"/>
  <c r="L9" i="76" s="1"/>
  <c r="K9" i="77" s="1"/>
  <c r="L9" i="77" s="1"/>
  <c r="K9" i="78" s="1"/>
  <c r="L9" i="78" s="1"/>
  <c r="K9" i="79" s="1"/>
  <c r="L9" i="79" s="1"/>
  <c r="K9" i="80" s="1"/>
  <c r="L9" i="80" s="1"/>
  <c r="K9" i="81" s="1"/>
  <c r="L9" i="81" s="1"/>
  <c r="K9" i="82" s="1"/>
  <c r="L9" i="82" s="1"/>
  <c r="K9" i="83" s="1"/>
  <c r="L9" i="83" s="1"/>
  <c r="K9" i="84" s="1"/>
  <c r="L9" i="84" s="1"/>
  <c r="K9" i="85" s="1"/>
  <c r="L9" i="85" s="1"/>
  <c r="K9" i="86" s="1"/>
  <c r="L9" i="86" s="1"/>
  <c r="K9" i="87" s="1"/>
  <c r="L9" i="87" s="1"/>
  <c r="K9" i="88" s="1"/>
  <c r="L9" i="88" s="1"/>
  <c r="K9" i="89" s="1"/>
  <c r="L9" i="89" s="1"/>
  <c r="K9" i="90" s="1"/>
  <c r="L12" i="72"/>
  <c r="K12" i="73" s="1"/>
  <c r="L12" i="73" s="1"/>
  <c r="K12" i="74" s="1"/>
  <c r="L12" i="74" s="1"/>
  <c r="K12" i="75" s="1"/>
  <c r="L12" i="75" s="1"/>
  <c r="K12" i="76" s="1"/>
  <c r="L12" i="76" s="1"/>
  <c r="K12" i="77" s="1"/>
  <c r="L12" i="77" s="1"/>
  <c r="K12" i="78" s="1"/>
  <c r="L12" i="78" s="1"/>
  <c r="K12" i="79" s="1"/>
  <c r="L12" i="79" s="1"/>
  <c r="K12" i="80" s="1"/>
  <c r="L12" i="80" s="1"/>
  <c r="K12" i="81" s="1"/>
  <c r="L12" i="81" s="1"/>
  <c r="K12" i="82" s="1"/>
  <c r="L12" i="82" s="1"/>
  <c r="K12" i="83" s="1"/>
  <c r="L12" i="83" s="1"/>
  <c r="K12" i="84" s="1"/>
  <c r="L12" i="84" s="1"/>
  <c r="K12" i="85" s="1"/>
  <c r="L12" i="85" s="1"/>
  <c r="K12" i="86" s="1"/>
  <c r="L12" i="86" s="1"/>
  <c r="K12" i="87" s="1"/>
  <c r="L12" i="87" s="1"/>
  <c r="K12" i="88" s="1"/>
  <c r="L12" i="88" s="1"/>
  <c r="K12" i="89" s="1"/>
  <c r="L12" i="89" s="1"/>
  <c r="K12" i="90" s="1"/>
  <c r="K11" i="72"/>
  <c r="L11" i="72" s="1"/>
  <c r="K11" i="73" s="1"/>
  <c r="L11" i="73" s="1"/>
  <c r="K11" i="74" s="1"/>
  <c r="L11" i="74" s="1"/>
  <c r="K11" i="75" s="1"/>
  <c r="L11" i="75" s="1"/>
  <c r="K11" i="76" s="1"/>
  <c r="L11" i="76" s="1"/>
  <c r="K11" i="77" s="1"/>
  <c r="L11" i="77" s="1"/>
  <c r="K11" i="78" s="1"/>
  <c r="L11" i="78" s="1"/>
  <c r="K11" i="79" s="1"/>
  <c r="L11" i="79" s="1"/>
  <c r="K11" i="80" s="1"/>
  <c r="L11" i="80" s="1"/>
  <c r="K11" i="81" s="1"/>
  <c r="L11" i="81" s="1"/>
  <c r="K11" i="82" s="1"/>
  <c r="L11" i="82" s="1"/>
  <c r="K11" i="83" s="1"/>
  <c r="L11" i="83" s="1"/>
  <c r="K11" i="84" s="1"/>
  <c r="L11" i="84" s="1"/>
  <c r="K11" i="85" s="1"/>
  <c r="L11" i="85" s="1"/>
  <c r="K11" i="86" s="1"/>
  <c r="L11" i="86" s="1"/>
  <c r="K11" i="87" s="1"/>
  <c r="L11" i="87" s="1"/>
  <c r="K11" i="88" s="1"/>
  <c r="L11" i="88" s="1"/>
  <c r="K11" i="89" s="1"/>
  <c r="L11" i="89" s="1"/>
  <c r="N6" i="89" l="1"/>
  <c r="C8" i="90"/>
  <c r="F14" i="96"/>
  <c r="E14" i="97" s="1"/>
  <c r="F14" i="97" s="1"/>
  <c r="C12" i="90"/>
  <c r="F8" i="89"/>
  <c r="E8" i="90" s="1"/>
  <c r="C10" i="90"/>
  <c r="F10" i="89"/>
  <c r="E10" i="90" s="1"/>
  <c r="C9" i="90"/>
  <c r="F9" i="89"/>
  <c r="E9" i="90" s="1"/>
  <c r="F12" i="89"/>
  <c r="E12" i="90" s="1"/>
  <c r="L12" i="90"/>
  <c r="K12" i="91" s="1"/>
  <c r="L12" i="91" s="1"/>
  <c r="K12" i="92" s="1"/>
  <c r="L12" i="92" s="1"/>
  <c r="K12" i="93" s="1"/>
  <c r="L12" i="93" s="1"/>
  <c r="K12" i="94" s="1"/>
  <c r="L12" i="94" s="1"/>
  <c r="K12" i="95" s="1"/>
  <c r="L12" i="95" s="1"/>
  <c r="K12" i="96" s="1"/>
  <c r="L12" i="96" s="1"/>
  <c r="K12" i="97" s="1"/>
  <c r="L12" i="97" s="1"/>
  <c r="K11" i="90"/>
  <c r="L11" i="90" s="1"/>
  <c r="K11" i="91" s="1"/>
  <c r="L11" i="91" s="1"/>
  <c r="K11" i="92" s="1"/>
  <c r="L11" i="92" s="1"/>
  <c r="K11" i="93" s="1"/>
  <c r="L11" i="93" s="1"/>
  <c r="K11" i="94" s="1"/>
  <c r="L11" i="94" s="1"/>
  <c r="K11" i="95" s="1"/>
  <c r="L11" i="95" s="1"/>
  <c r="K11" i="96" s="1"/>
  <c r="L11" i="96" s="1"/>
  <c r="K11" i="97" s="1"/>
  <c r="L11" i="97" s="1"/>
  <c r="L10" i="90"/>
  <c r="K10" i="91" s="1"/>
  <c r="L10" i="91" s="1"/>
  <c r="K10" i="92" s="1"/>
  <c r="L10" i="92" s="1"/>
  <c r="K10" i="93" s="1"/>
  <c r="L10" i="93" s="1"/>
  <c r="K10" i="94" s="1"/>
  <c r="L10" i="94" s="1"/>
  <c r="K10" i="95" s="1"/>
  <c r="L10" i="95" s="1"/>
  <c r="K10" i="96" s="1"/>
  <c r="L10" i="96" s="1"/>
  <c r="K10" i="97" s="1"/>
  <c r="L10" i="97" s="1"/>
  <c r="L9" i="90"/>
  <c r="K9" i="91" s="1"/>
  <c r="L9" i="91" s="1"/>
  <c r="K9" i="92" s="1"/>
  <c r="L9" i="92" s="1"/>
  <c r="K9" i="93" s="1"/>
  <c r="L9" i="93" s="1"/>
  <c r="K9" i="94" s="1"/>
  <c r="L9" i="94" s="1"/>
  <c r="K9" i="95" s="1"/>
  <c r="L9" i="95" s="1"/>
  <c r="K9" i="96" s="1"/>
  <c r="L9" i="96" s="1"/>
  <c r="K9" i="97" s="1"/>
  <c r="L9" i="97" s="1"/>
  <c r="N6" i="90" l="1"/>
  <c r="F9" i="90"/>
  <c r="E9" i="91" s="1"/>
  <c r="F10" i="90"/>
  <c r="E10" i="91" s="1"/>
  <c r="C10" i="91"/>
  <c r="C9" i="91"/>
  <c r="F8" i="90"/>
  <c r="E8" i="91" s="1"/>
  <c r="C12" i="91"/>
  <c r="F12" i="90"/>
  <c r="E12" i="91" s="1"/>
  <c r="C8" i="91"/>
  <c r="N6" i="91" s="1"/>
  <c r="F12" i="91" l="1"/>
  <c r="E12" i="92" s="1"/>
  <c r="C12" i="92"/>
  <c r="C9" i="92"/>
  <c r="F8" i="91"/>
  <c r="E8" i="92" s="1"/>
  <c r="C10" i="92"/>
  <c r="F9" i="91"/>
  <c r="E9" i="92" s="1"/>
  <c r="C8" i="92"/>
  <c r="N6" i="92" s="1"/>
  <c r="F10" i="91"/>
  <c r="E10" i="92" s="1"/>
  <c r="F9" i="92" l="1"/>
  <c r="E9" i="93" s="1"/>
  <c r="F10" i="92"/>
  <c r="E10" i="93" s="1"/>
  <c r="C9" i="93"/>
  <c r="C8" i="93"/>
  <c r="C10" i="93"/>
  <c r="C12" i="93"/>
  <c r="F8" i="92"/>
  <c r="E8" i="93" s="1"/>
  <c r="F12" i="92"/>
  <c r="E12" i="93" s="1"/>
  <c r="N6" i="93" l="1"/>
  <c r="F9" i="93"/>
  <c r="E9" i="94" s="1"/>
  <c r="F12" i="93"/>
  <c r="E12" i="94" s="1"/>
  <c r="F8" i="93"/>
  <c r="E8" i="94" s="1"/>
  <c r="C12" i="94"/>
  <c r="C10" i="94"/>
  <c r="C8" i="94"/>
  <c r="C9" i="94"/>
  <c r="F10" i="93"/>
  <c r="E10" i="94" s="1"/>
  <c r="N6" i="94" l="1"/>
  <c r="F10" i="94"/>
  <c r="E10" i="95" s="1"/>
  <c r="C9" i="95"/>
  <c r="C8" i="95"/>
  <c r="C12" i="95"/>
  <c r="F8" i="94"/>
  <c r="E8" i="95" s="1"/>
  <c r="F12" i="94"/>
  <c r="E12" i="95" s="1"/>
  <c r="C10" i="95"/>
  <c r="F9" i="94"/>
  <c r="E9" i="95" s="1"/>
  <c r="N6" i="95" l="1"/>
  <c r="F9" i="95"/>
  <c r="E9" i="96" s="1"/>
  <c r="C10" i="97"/>
  <c r="C10" i="96"/>
  <c r="F8" i="95"/>
  <c r="E8" i="96" s="1"/>
  <c r="C12" i="97"/>
  <c r="C12" i="96"/>
  <c r="C8" i="97"/>
  <c r="C8" i="96"/>
  <c r="N6" i="96" s="1"/>
  <c r="C9" i="97"/>
  <c r="C9" i="96"/>
  <c r="F12" i="95"/>
  <c r="E12" i="96" s="1"/>
  <c r="F10" i="95"/>
  <c r="E10" i="96" s="1"/>
  <c r="N6" i="97" l="1"/>
  <c r="F10" i="96"/>
  <c r="E10" i="97" s="1"/>
  <c r="F10" i="97" s="1"/>
  <c r="F12" i="96"/>
  <c r="E12" i="97" s="1"/>
  <c r="F12" i="97" s="1"/>
  <c r="F8" i="96"/>
  <c r="E8" i="97" s="1"/>
  <c r="F8" i="97" s="1"/>
  <c r="F9" i="96"/>
  <c r="E9" i="97" s="1"/>
  <c r="F9" i="97" s="1"/>
  <c r="L8" i="90"/>
  <c r="K8" i="91" s="1"/>
  <c r="L8" i="91" s="1"/>
  <c r="K8" i="92" s="1"/>
  <c r="L8" i="92" s="1"/>
  <c r="K8" i="93" s="1"/>
  <c r="L8" i="93" s="1"/>
  <c r="K8" i="94" s="1"/>
  <c r="L8" i="94" s="1"/>
  <c r="K8" i="95" s="1"/>
  <c r="L8" i="95" s="1"/>
  <c r="K8" i="96" s="1"/>
  <c r="L8" i="96" s="1"/>
  <c r="K8" i="97" s="1"/>
  <c r="L8" i="97" s="1"/>
</calcChain>
</file>

<file path=xl/sharedStrings.xml><?xml version="1.0" encoding="utf-8"?>
<sst xmlns="http://schemas.openxmlformats.org/spreadsheetml/2006/main" count="1108" uniqueCount="41">
  <si>
    <t>NO</t>
    <phoneticPr fontId="3" type="noConversion"/>
  </si>
  <si>
    <t>구분</t>
    <phoneticPr fontId="3" type="noConversion"/>
  </si>
  <si>
    <t>성명</t>
    <phoneticPr fontId="3" type="noConversion"/>
  </si>
  <si>
    <t>공정</t>
    <phoneticPr fontId="3" type="noConversion"/>
  </si>
  <si>
    <t>위치</t>
    <phoneticPr fontId="3" type="noConversion"/>
  </si>
  <si>
    <t>작업내용</t>
    <phoneticPr fontId="3" type="noConversion"/>
  </si>
  <si>
    <t>인원 출력현황</t>
    <phoneticPr fontId="3" type="noConversion"/>
  </si>
  <si>
    <t>금일출력</t>
    <phoneticPr fontId="3" type="noConversion"/>
  </si>
  <si>
    <t>전일누계</t>
    <phoneticPr fontId="3" type="noConversion"/>
  </si>
  <si>
    <t>총누계</t>
    <phoneticPr fontId="3" type="noConversion"/>
  </si>
  <si>
    <t>소장</t>
    <phoneticPr fontId="3" type="noConversion"/>
  </si>
  <si>
    <t>출 력 일 보</t>
    <phoneticPr fontId="3" type="noConversion"/>
  </si>
  <si>
    <t>금일 출력 및 작업현황</t>
    <phoneticPr fontId="3" type="noConversion"/>
  </si>
  <si>
    <t>현장명</t>
    <phoneticPr fontId="3" type="noConversion"/>
  </si>
  <si>
    <t>일용노무지급명세서</t>
    <phoneticPr fontId="3" type="noConversion"/>
  </si>
  <si>
    <t>출력현황</t>
    <phoneticPr fontId="3" type="noConversion"/>
  </si>
  <si>
    <t>공종</t>
    <phoneticPr fontId="3" type="noConversion"/>
  </si>
  <si>
    <t>누계</t>
    <phoneticPr fontId="3" type="noConversion"/>
  </si>
  <si>
    <t>일일 출력인원</t>
    <phoneticPr fontId="3" type="noConversion"/>
  </si>
  <si>
    <t>현장명</t>
    <phoneticPr fontId="3" type="noConversion"/>
  </si>
  <si>
    <t>일자</t>
    <phoneticPr fontId="3" type="noConversion"/>
  </si>
  <si>
    <t>업체명</t>
    <phoneticPr fontId="3" type="noConversion"/>
  </si>
  <si>
    <t>한라건설 용인금어지구</t>
    <phoneticPr fontId="3" type="noConversion"/>
  </si>
  <si>
    <t>㈜욱림건설</t>
    <phoneticPr fontId="3" type="noConversion"/>
  </si>
  <si>
    <t>담당</t>
    <phoneticPr fontId="3" type="noConversion"/>
  </si>
  <si>
    <t>이사</t>
    <phoneticPr fontId="3" type="noConversion"/>
  </si>
  <si>
    <t>실장</t>
    <phoneticPr fontId="3" type="noConversion"/>
  </si>
  <si>
    <t>대표이사</t>
    <phoneticPr fontId="3" type="noConversion"/>
  </si>
  <si>
    <t>용인금어지구</t>
    <phoneticPr fontId="3" type="noConversion"/>
  </si>
  <si>
    <t>직영</t>
    <phoneticPr fontId="3" type="noConversion"/>
  </si>
  <si>
    <t>관리자</t>
    <phoneticPr fontId="3" type="noConversion"/>
  </si>
  <si>
    <t>단열</t>
    <phoneticPr fontId="3" type="noConversion"/>
  </si>
  <si>
    <t>합지</t>
    <phoneticPr fontId="3" type="noConversion"/>
  </si>
  <si>
    <t>천정</t>
    <phoneticPr fontId="3" type="noConversion"/>
  </si>
  <si>
    <t>수장</t>
    <phoneticPr fontId="3" type="noConversion"/>
  </si>
  <si>
    <t>몰딩</t>
    <phoneticPr fontId="3" type="noConversion"/>
  </si>
  <si>
    <t>경량</t>
    <phoneticPr fontId="3" type="noConversion"/>
  </si>
  <si>
    <t>걸레받이</t>
    <phoneticPr fontId="3" type="noConversion"/>
  </si>
  <si>
    <t xml:space="preserve"> </t>
    <phoneticPr fontId="3" type="noConversion"/>
  </si>
  <si>
    <t>아트월</t>
    <phoneticPr fontId="3" type="noConversion"/>
  </si>
  <si>
    <t>큐비클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</si>
</sst>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&quot;( &quot;yyyy&quot;년&quot;m&quot;월 )&quot;"/>
    <numFmt numFmtId="177" formatCode="d"/>
    <numFmt numFmtId="178" formatCode="[$-412]yyyy&quot;년&quot;\ m&quot;월&quot;\ d&quot;일&quot;\ dddd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새굴림"/>
      <family val="1"/>
      <charset val="129"/>
    </font>
    <font>
      <sz val="10"/>
      <color rgb="FFFF0000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7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C000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4" fillId="8" borderId="35" applyNumberFormat="0" applyAlignment="0" applyProtection="0">
      <alignment vertical="center"/>
    </xf>
  </cellStyleXfs>
  <cellXfs count="183">
    <xf numFmtId="0" fontId="0" fillId="0" borderId="0" xfId="0">
      <alignment vertical="center"/>
    </xf>
    <xf numFmtId="0" fontId="2" fillId="0" borderId="0" xfId="0" applyFont="1">
      <alignment vertical="center"/>
    </xf>
    <xf numFmtId="41" fontId="2" fillId="0" borderId="0" xfId="1" applyFo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distributed" vertical="center" justifyLastLine="1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3" xfId="1" applyNumberFormat="1" applyFont="1" applyBorder="1" applyAlignment="1">
      <alignment horizontal="center" vertical="center"/>
    </xf>
    <xf numFmtId="0" fontId="2" fillId="0" borderId="11" xfId="1" applyNumberFormat="1" applyFont="1" applyBorder="1" applyAlignment="1">
      <alignment horizontal="center" vertical="center"/>
    </xf>
    <xf numFmtId="0" fontId="2" fillId="0" borderId="15" xfId="1" applyNumberFormat="1" applyFont="1" applyBorder="1" applyAlignment="1">
      <alignment horizontal="center" vertical="center"/>
    </xf>
    <xf numFmtId="0" fontId="2" fillId="0" borderId="16" xfId="1" applyNumberFormat="1" applyFont="1" applyBorder="1" applyAlignment="1">
      <alignment horizontal="center" vertical="center"/>
    </xf>
    <xf numFmtId="0" fontId="5" fillId="2" borderId="5" xfId="0" applyFont="1" applyFill="1" applyBorder="1" applyAlignment="1">
      <alignment horizontal="distributed" vertical="center" justifyLastLine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41" fontId="6" fillId="0" borderId="3" xfId="1" applyFont="1" applyBorder="1">
      <alignment vertical="center"/>
    </xf>
    <xf numFmtId="41" fontId="6" fillId="0" borderId="4" xfId="1" applyFont="1" applyBorder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77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1" fontId="6" fillId="4" borderId="1" xfId="1" applyFont="1" applyFill="1" applyBorder="1">
      <alignment vertical="center"/>
    </xf>
    <xf numFmtId="41" fontId="6" fillId="5" borderId="3" xfId="1" applyFont="1" applyFill="1" applyBorder="1">
      <alignment vertical="center"/>
    </xf>
    <xf numFmtId="41" fontId="6" fillId="5" borderId="4" xfId="1" applyFont="1" applyFill="1" applyBorder="1">
      <alignment vertical="center"/>
    </xf>
    <xf numFmtId="41" fontId="6" fillId="4" borderId="1" xfId="1" applyFont="1" applyFill="1" applyBorder="1" applyAlignment="1">
      <alignment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41" fontId="11" fillId="0" borderId="2" xfId="1" applyFont="1" applyBorder="1" applyAlignment="1">
      <alignment horizontal="center" vertical="center"/>
    </xf>
    <xf numFmtId="41" fontId="11" fillId="0" borderId="3" xfId="1" applyFont="1" applyBorder="1" applyAlignment="1">
      <alignment horizontal="center" vertical="center"/>
    </xf>
    <xf numFmtId="41" fontId="11" fillId="0" borderId="4" xfId="1" applyFont="1" applyBorder="1" applyAlignment="1">
      <alignment horizontal="center" vertical="center"/>
    </xf>
    <xf numFmtId="41" fontId="2" fillId="0" borderId="3" xfId="1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distributed" vertical="center" justifyLastLine="1"/>
    </xf>
    <xf numFmtId="41" fontId="2" fillId="0" borderId="8" xfId="1" applyFont="1" applyBorder="1" applyAlignment="1">
      <alignment horizontal="center" vertical="center"/>
    </xf>
    <xf numFmtId="41" fontId="2" fillId="0" borderId="9" xfId="1" applyFont="1" applyBorder="1" applyAlignment="1">
      <alignment horizontal="center" vertical="center"/>
    </xf>
    <xf numFmtId="41" fontId="2" fillId="0" borderId="4" xfId="1" applyFont="1" applyBorder="1" applyAlignment="1">
      <alignment horizontal="center" vertical="center"/>
    </xf>
    <xf numFmtId="0" fontId="5" fillId="0" borderId="1" xfId="0" applyFont="1" applyBorder="1" applyAlignment="1">
      <alignment horizontal="distributed" vertical="center" justifyLastLine="1"/>
    </xf>
    <xf numFmtId="41" fontId="2" fillId="0" borderId="2" xfId="1" applyFont="1" applyBorder="1" applyAlignment="1">
      <alignment horizontal="center" vertical="center"/>
    </xf>
    <xf numFmtId="41" fontId="2" fillId="0" borderId="7" xfId="1" applyFont="1" applyBorder="1" applyAlignment="1">
      <alignment horizontal="center" vertical="center"/>
    </xf>
    <xf numFmtId="41" fontId="12" fillId="0" borderId="3" xfId="1" applyFont="1" applyFill="1" applyBorder="1" applyAlignment="1">
      <alignment horizontal="center" vertical="center"/>
    </xf>
    <xf numFmtId="41" fontId="12" fillId="0" borderId="3" xfId="1" applyFont="1" applyFill="1" applyBorder="1" applyAlignment="1">
      <alignment horizontal="center" vertical="center" shrinkToFit="1"/>
    </xf>
    <xf numFmtId="41" fontId="12" fillId="0" borderId="8" xfId="1" applyFont="1" applyFill="1" applyBorder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8" fillId="0" borderId="1" xfId="0" applyFont="1" applyBorder="1" applyAlignment="1">
      <alignment horizontal="distributed" vertical="center" indent="2"/>
    </xf>
    <xf numFmtId="0" fontId="8" fillId="0" borderId="1" xfId="0" applyFont="1" applyBorder="1" applyAlignment="1">
      <alignment horizontal="distributed" vertical="center" indent="1"/>
    </xf>
    <xf numFmtId="41" fontId="6" fillId="5" borderId="8" xfId="1" applyFont="1" applyFill="1" applyBorder="1">
      <alignment vertical="center"/>
    </xf>
    <xf numFmtId="41" fontId="2" fillId="0" borderId="0" xfId="1" applyFont="1" applyBorder="1" applyAlignment="1">
      <alignment horizontal="center" vertical="center"/>
    </xf>
    <xf numFmtId="0" fontId="6" fillId="0" borderId="0" xfId="0" quotePrefix="1" applyFont="1">
      <alignment vertical="center"/>
    </xf>
    <xf numFmtId="41" fontId="6" fillId="0" borderId="0" xfId="0" applyNumberFormat="1" applyFont="1">
      <alignment vertical="center"/>
    </xf>
    <xf numFmtId="41" fontId="12" fillId="6" borderId="3" xfId="1" applyFont="1" applyFill="1" applyBorder="1" applyAlignment="1">
      <alignment horizontal="center" vertical="center"/>
    </xf>
    <xf numFmtId="41" fontId="12" fillId="6" borderId="7" xfId="1" applyFont="1" applyFill="1" applyBorder="1" applyAlignment="1">
      <alignment horizontal="center" vertical="center" shrinkToFit="1"/>
    </xf>
    <xf numFmtId="41" fontId="12" fillId="6" borderId="8" xfId="1" applyFont="1" applyFill="1" applyBorder="1" applyAlignment="1">
      <alignment horizontal="center" vertical="center" shrinkToFit="1"/>
    </xf>
    <xf numFmtId="41" fontId="12" fillId="6" borderId="23" xfId="1" applyFont="1" applyFill="1" applyBorder="1" applyAlignment="1">
      <alignment horizontal="center" vertical="center"/>
    </xf>
    <xf numFmtId="41" fontId="12" fillId="6" borderId="2" xfId="1" applyFont="1" applyFill="1" applyBorder="1" applyAlignment="1">
      <alignment horizontal="center" vertical="center"/>
    </xf>
    <xf numFmtId="41" fontId="12" fillId="6" borderId="3" xfId="1" applyFont="1" applyFill="1" applyBorder="1" applyAlignment="1">
      <alignment horizontal="center" vertical="center" shrinkToFit="1"/>
    </xf>
    <xf numFmtId="0" fontId="6" fillId="6" borderId="3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41" fontId="11" fillId="0" borderId="19" xfId="1" applyFont="1" applyBorder="1" applyAlignment="1">
      <alignment horizontal="center" vertical="center"/>
    </xf>
    <xf numFmtId="0" fontId="8" fillId="6" borderId="1" xfId="0" applyFont="1" applyFill="1" applyBorder="1" applyAlignment="1">
      <alignment horizontal="distributed" vertical="center" indent="2"/>
    </xf>
    <xf numFmtId="0" fontId="8" fillId="6" borderId="1" xfId="0" applyFont="1" applyFill="1" applyBorder="1" applyAlignment="1">
      <alignment horizontal="distributed" vertical="center" indent="1"/>
    </xf>
    <xf numFmtId="0" fontId="5" fillId="6" borderId="1" xfId="0" applyFont="1" applyFill="1" applyBorder="1" applyAlignment="1">
      <alignment horizontal="distributed" vertical="center" justifyLastLine="1"/>
    </xf>
    <xf numFmtId="0" fontId="5" fillId="6" borderId="5" xfId="0" applyFont="1" applyFill="1" applyBorder="1" applyAlignment="1">
      <alignment horizontal="distributed" vertical="center" justifyLastLine="1"/>
    </xf>
    <xf numFmtId="0" fontId="2" fillId="6" borderId="2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41" fontId="2" fillId="6" borderId="2" xfId="1" applyFont="1" applyFill="1" applyBorder="1" applyAlignment="1">
      <alignment horizontal="center" vertical="center"/>
    </xf>
    <xf numFmtId="41" fontId="2" fillId="6" borderId="7" xfId="1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41" fontId="11" fillId="6" borderId="2" xfId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41" fontId="2" fillId="6" borderId="3" xfId="1" applyFont="1" applyFill="1" applyBorder="1" applyAlignment="1">
      <alignment horizontal="center" vertical="center"/>
    </xf>
    <xf numFmtId="41" fontId="2" fillId="6" borderId="8" xfId="1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41" fontId="11" fillId="6" borderId="3" xfId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41" fontId="2" fillId="6" borderId="4" xfId="1" applyFont="1" applyFill="1" applyBorder="1" applyAlignment="1">
      <alignment horizontal="center" vertical="center"/>
    </xf>
    <xf numFmtId="41" fontId="2" fillId="6" borderId="9" xfId="1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6" borderId="15" xfId="1" applyNumberFormat="1" applyFont="1" applyFill="1" applyBorder="1" applyAlignment="1">
      <alignment horizontal="center" vertical="center"/>
    </xf>
    <xf numFmtId="0" fontId="2" fillId="6" borderId="16" xfId="1" applyNumberFormat="1" applyFont="1" applyFill="1" applyBorder="1" applyAlignment="1">
      <alignment horizontal="center" vertical="center"/>
    </xf>
    <xf numFmtId="0" fontId="2" fillId="6" borderId="3" xfId="1" applyNumberFormat="1" applyFont="1" applyFill="1" applyBorder="1" applyAlignment="1">
      <alignment horizontal="center" vertical="center"/>
    </xf>
    <xf numFmtId="0" fontId="2" fillId="6" borderId="11" xfId="1" applyNumberFormat="1" applyFont="1" applyFill="1" applyBorder="1" applyAlignment="1">
      <alignment horizontal="center" vertical="center"/>
    </xf>
    <xf numFmtId="41" fontId="13" fillId="6" borderId="3" xfId="1" applyFont="1" applyFill="1" applyBorder="1" applyAlignment="1">
      <alignment horizontal="center" vertical="center"/>
    </xf>
    <xf numFmtId="41" fontId="6" fillId="6" borderId="3" xfId="1" applyFont="1" applyFill="1" applyBorder="1">
      <alignment vertical="center"/>
    </xf>
    <xf numFmtId="41" fontId="6" fillId="6" borderId="2" xfId="1" applyFont="1" applyFill="1" applyBorder="1">
      <alignment vertical="center"/>
    </xf>
    <xf numFmtId="0" fontId="11" fillId="0" borderId="23" xfId="0" applyFont="1" applyBorder="1" applyAlignment="1">
      <alignment horizontal="center" vertical="center"/>
    </xf>
    <xf numFmtId="41" fontId="2" fillId="0" borderId="23" xfId="1" applyFont="1" applyBorder="1" applyAlignment="1">
      <alignment horizontal="center" vertical="center"/>
    </xf>
    <xf numFmtId="41" fontId="2" fillId="0" borderId="24" xfId="1" applyFont="1" applyBorder="1" applyAlignment="1">
      <alignment horizontal="center" vertical="center"/>
    </xf>
    <xf numFmtId="41" fontId="2" fillId="0" borderId="28" xfId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41" fontId="11" fillId="0" borderId="23" xfId="1" applyFont="1" applyBorder="1" applyAlignment="1">
      <alignment horizontal="center" vertical="center"/>
    </xf>
    <xf numFmtId="41" fontId="11" fillId="6" borderId="4" xfId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41" fontId="6" fillId="7" borderId="8" xfId="1" applyFont="1" applyFill="1" applyBorder="1">
      <alignment vertical="center"/>
    </xf>
    <xf numFmtId="41" fontId="6" fillId="7" borderId="2" xfId="1" applyFont="1" applyFill="1" applyBorder="1">
      <alignment vertical="center"/>
    </xf>
    <xf numFmtId="41" fontId="6" fillId="7" borderId="3" xfId="1" applyFont="1" applyFill="1" applyBorder="1">
      <alignment vertical="center"/>
    </xf>
    <xf numFmtId="0" fontId="2" fillId="6" borderId="4" xfId="1" applyNumberFormat="1" applyFont="1" applyFill="1" applyBorder="1" applyAlignment="1">
      <alignment horizontal="center" vertical="center"/>
    </xf>
    <xf numFmtId="41" fontId="12" fillId="6" borderId="4" xfId="1" applyFont="1" applyFill="1" applyBorder="1" applyAlignment="1">
      <alignment horizontal="center" vertical="center"/>
    </xf>
    <xf numFmtId="41" fontId="12" fillId="6" borderId="9" xfId="1" applyFont="1" applyFill="1" applyBorder="1" applyAlignment="1">
      <alignment horizontal="center" vertical="center" shrinkToFit="1"/>
    </xf>
    <xf numFmtId="0" fontId="2" fillId="6" borderId="12" xfId="1" applyNumberFormat="1" applyFont="1" applyFill="1" applyBorder="1" applyAlignment="1">
      <alignment horizontal="center" vertical="center"/>
    </xf>
    <xf numFmtId="41" fontId="12" fillId="6" borderId="4" xfId="1" applyFont="1" applyFill="1" applyBorder="1" applyAlignment="1">
      <alignment horizontal="center" vertical="center" shrinkToFit="1"/>
    </xf>
    <xf numFmtId="41" fontId="12" fillId="6" borderId="32" xfId="1" applyFont="1" applyFill="1" applyBorder="1" applyAlignment="1">
      <alignment horizontal="center" vertical="center" shrinkToFit="1"/>
    </xf>
    <xf numFmtId="0" fontId="2" fillId="0" borderId="4" xfId="1" applyNumberFormat="1" applyFont="1" applyBorder="1" applyAlignment="1">
      <alignment horizontal="center" vertical="center"/>
    </xf>
    <xf numFmtId="41" fontId="12" fillId="6" borderId="28" xfId="1" applyFont="1" applyFill="1" applyBorder="1" applyAlignment="1">
      <alignment horizontal="center" vertical="center" shrinkToFit="1"/>
    </xf>
    <xf numFmtId="41" fontId="12" fillId="6" borderId="24" xfId="1" applyFont="1" applyFill="1" applyBorder="1" applyAlignment="1">
      <alignment horizontal="center" vertical="center" shrinkToFit="1"/>
    </xf>
    <xf numFmtId="41" fontId="12" fillId="6" borderId="33" xfId="1" applyFont="1" applyFill="1" applyBorder="1" applyAlignment="1">
      <alignment horizontal="center" vertical="center" shrinkToFit="1"/>
    </xf>
    <xf numFmtId="0" fontId="2" fillId="0" borderId="12" xfId="1" applyNumberFormat="1" applyFont="1" applyBorder="1" applyAlignment="1">
      <alignment horizontal="center" vertical="center"/>
    </xf>
    <xf numFmtId="41" fontId="12" fillId="0" borderId="4" xfId="1" applyFont="1" applyFill="1" applyBorder="1" applyAlignment="1">
      <alignment horizontal="center" vertical="center"/>
    </xf>
    <xf numFmtId="41" fontId="12" fillId="0" borderId="9" xfId="1" applyFont="1" applyFill="1" applyBorder="1" applyAlignment="1">
      <alignment horizontal="center" vertical="center" shrinkToFit="1"/>
    </xf>
    <xf numFmtId="41" fontId="12" fillId="0" borderId="4" xfId="1" applyFont="1" applyFill="1" applyBorder="1" applyAlignment="1">
      <alignment horizontal="center" vertical="center" shrinkToFit="1"/>
    </xf>
    <xf numFmtId="41" fontId="12" fillId="6" borderId="23" xfId="1" applyFont="1" applyFill="1" applyBorder="1" applyAlignment="1">
      <alignment horizontal="center" vertical="center" shrinkToFit="1"/>
    </xf>
    <xf numFmtId="41" fontId="12" fillId="6" borderId="15" xfId="1" applyFont="1" applyFill="1" applyBorder="1" applyAlignment="1">
      <alignment horizontal="center" vertical="center"/>
    </xf>
    <xf numFmtId="41" fontId="12" fillId="6" borderId="34" xfId="1" applyFont="1" applyFill="1" applyBorder="1" applyAlignment="1">
      <alignment horizontal="center" vertical="center" shrinkToFit="1"/>
    </xf>
    <xf numFmtId="41" fontId="12" fillId="6" borderId="2" xfId="1" applyFont="1" applyFill="1" applyBorder="1" applyAlignment="1">
      <alignment horizontal="center" vertical="center" shrinkToFit="1"/>
    </xf>
    <xf numFmtId="41" fontId="12" fillId="6" borderId="15" xfId="1" applyFont="1" applyFill="1" applyBorder="1" applyAlignment="1">
      <alignment horizontal="center" vertical="center" shrinkToFit="1"/>
    </xf>
    <xf numFmtId="0" fontId="14" fillId="8" borderId="35" xfId="2">
      <alignment vertical="center"/>
    </xf>
    <xf numFmtId="0" fontId="2" fillId="9" borderId="0" xfId="0" applyFont="1" applyFill="1">
      <alignment vertical="center"/>
    </xf>
    <xf numFmtId="0" fontId="2" fillId="4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176" fontId="5" fillId="3" borderId="13" xfId="0" applyNumberFormat="1" applyFont="1" applyFill="1" applyBorder="1" applyAlignment="1">
      <alignment horizontal="left" vertical="center"/>
    </xf>
    <xf numFmtId="176" fontId="5" fillId="3" borderId="1" xfId="0" applyNumberFormat="1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distributed" vertical="center" indent="2"/>
    </xf>
    <xf numFmtId="0" fontId="7" fillId="0" borderId="19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41" fontId="2" fillId="0" borderId="3" xfId="1" applyFont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distributed" vertical="center" justifyLastLine="1"/>
    </xf>
    <xf numFmtId="41" fontId="2" fillId="0" borderId="2" xfId="1" applyFont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41" fontId="2" fillId="0" borderId="4" xfId="1" applyFont="1" applyBorder="1" applyAlignment="1">
      <alignment horizontal="center" vertical="center"/>
    </xf>
    <xf numFmtId="41" fontId="2" fillId="0" borderId="23" xfId="1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distributed" vertical="center" indent="1"/>
    </xf>
    <xf numFmtId="0" fontId="8" fillId="2" borderId="19" xfId="0" applyFont="1" applyFill="1" applyBorder="1" applyAlignment="1">
      <alignment horizontal="distributed" vertical="center" indent="1"/>
    </xf>
    <xf numFmtId="0" fontId="4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78" fontId="4" fillId="0" borderId="6" xfId="0" applyNumberFormat="1" applyFont="1" applyBorder="1" applyAlignment="1">
      <alignment horizontal="center" vertical="center"/>
    </xf>
    <xf numFmtId="178" fontId="4" fillId="0" borderId="1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6" borderId="19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178" fontId="4" fillId="6" borderId="6" xfId="0" applyNumberFormat="1" applyFont="1" applyFill="1" applyBorder="1" applyAlignment="1">
      <alignment horizontal="center" vertical="center"/>
    </xf>
    <xf numFmtId="178" fontId="4" fillId="6" borderId="14" xfId="0" applyNumberFormat="1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6" xfId="0" applyFont="1" applyFill="1" applyBorder="1" applyAlignment="1">
      <alignment horizontal="center" vertical="center"/>
    </xf>
    <xf numFmtId="0" fontId="7" fillId="6" borderId="27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distributed" vertical="center" indent="2"/>
    </xf>
    <xf numFmtId="0" fontId="5" fillId="6" borderId="1" xfId="0" applyFont="1" applyFill="1" applyBorder="1" applyAlignment="1">
      <alignment horizontal="distributed" vertical="center" justifyLastLine="1"/>
    </xf>
    <xf numFmtId="41" fontId="2" fillId="6" borderId="2" xfId="1" applyFont="1" applyFill="1" applyBorder="1" applyAlignment="1">
      <alignment horizontal="center" vertical="center"/>
    </xf>
    <xf numFmtId="41" fontId="2" fillId="6" borderId="3" xfId="1" applyFont="1" applyFill="1" applyBorder="1" applyAlignment="1">
      <alignment horizontal="center" vertical="center"/>
    </xf>
    <xf numFmtId="41" fontId="2" fillId="6" borderId="4" xfId="1" applyFont="1" applyFill="1" applyBorder="1" applyAlignment="1">
      <alignment horizontal="center" vertical="center"/>
    </xf>
    <xf numFmtId="41" fontId="2" fillId="0" borderId="9" xfId="1" applyFont="1" applyBorder="1" applyAlignment="1">
      <alignment horizontal="center" vertical="center"/>
    </xf>
    <xf numFmtId="41" fontId="2" fillId="0" borderId="30" xfId="1" applyFont="1" applyBorder="1" applyAlignment="1">
      <alignment horizontal="center" vertical="center"/>
    </xf>
    <xf numFmtId="41" fontId="2" fillId="0" borderId="7" xfId="1" applyFont="1" applyBorder="1" applyAlignment="1">
      <alignment horizontal="center" vertical="center"/>
    </xf>
    <xf numFmtId="41" fontId="2" fillId="0" borderId="29" xfId="1" applyFont="1" applyBorder="1" applyAlignment="1">
      <alignment horizontal="center" vertical="center"/>
    </xf>
  </cellXfs>
  <cellStyles count="3">
    <cellStyle name="셀 확인" xfId="2" builtinId="23"/>
    <cellStyle name="쉼표 [0]" xfId="1" builtinId="6"/>
    <cellStyle name="표준" xfId="0" builtinId="0"/>
  </cellStyles>
  <dxfs count="2">
    <dxf>
      <font>
        <color rgb="FFFF0000"/>
      </font>
    </dxf>
    <dxf>
      <font>
        <color rgb="FF0000FF"/>
      </font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7</xdr:row>
          <xdr:rowOff>9525</xdr:rowOff>
        </xdr:from>
        <xdr:to>
          <xdr:col>41</xdr:col>
          <xdr:colOff>0</xdr:colOff>
          <xdr:row>9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새굴림"/>
                  <a:ea typeface="새굴림"/>
                </a:rPr>
                <a:t>시트 이름 한번에 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10</xdr:row>
          <xdr:rowOff>0</xdr:rowOff>
        </xdr:from>
        <xdr:to>
          <xdr:col>41</xdr:col>
          <xdr:colOff>0</xdr:colOff>
          <xdr:row>11</xdr:row>
          <xdr:rowOff>238125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새굴림"/>
                  <a:ea typeface="새굴림"/>
                </a:rPr>
                <a:t>작업자 성명 자동 수집기능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  <pageSetUpPr fitToPage="1"/>
  </sheetPr>
  <dimension ref="B2:AS206"/>
  <sheetViews>
    <sheetView showGridLines="0" tabSelected="1" view="pageBreakPreview" zoomScaleNormal="85" zoomScaleSheetLayoutView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8" sqref="D8"/>
    </sheetView>
  </sheetViews>
  <sheetFormatPr defaultColWidth="9" defaultRowHeight="20.100000000000001" customHeight="1" x14ac:dyDescent="0.3"/>
  <cols>
    <col min="1" max="1" width="3.625" style="15" customWidth="1"/>
    <col min="2" max="2" width="3.625" style="16" customWidth="1"/>
    <col min="3" max="4" width="12.625" style="15" customWidth="1"/>
    <col min="5" max="35" width="3.625" style="15" customWidth="1"/>
    <col min="36" max="44" width="9" style="15"/>
    <col min="45" max="80" width="3.625" style="15" customWidth="1"/>
    <col min="81" max="16384" width="9" style="15"/>
  </cols>
  <sheetData>
    <row r="2" spans="2:45" ht="20.100000000000001" customHeight="1" x14ac:dyDescent="0.3">
      <c r="B2" s="137" t="s">
        <v>13</v>
      </c>
      <c r="C2" s="137"/>
      <c r="D2" s="27" t="s">
        <v>28</v>
      </c>
      <c r="E2" s="133" t="s">
        <v>14</v>
      </c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5">
        <v>46296</v>
      </c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</row>
    <row r="3" spans="2:45" ht="20.100000000000001" customHeight="1" x14ac:dyDescent="0.3">
      <c r="B3" s="137" t="s">
        <v>0</v>
      </c>
      <c r="C3" s="137" t="s">
        <v>2</v>
      </c>
      <c r="D3" s="137" t="s">
        <v>16</v>
      </c>
      <c r="E3" s="137" t="s">
        <v>15</v>
      </c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</row>
    <row r="4" spans="2:45" ht="20.100000000000001" customHeight="1" x14ac:dyDescent="0.3">
      <c r="B4" s="137"/>
      <c r="C4" s="137"/>
      <c r="D4" s="137"/>
      <c r="E4" s="21">
        <f>V2</f>
        <v>46296</v>
      </c>
      <c r="F4" s="21">
        <f>E4+1</f>
        <v>46297</v>
      </c>
      <c r="G4" s="21">
        <f t="shared" ref="G4:AI4" si="0">F4+1</f>
        <v>46298</v>
      </c>
      <c r="H4" s="21">
        <f t="shared" si="0"/>
        <v>46299</v>
      </c>
      <c r="I4" s="21">
        <f t="shared" si="0"/>
        <v>46300</v>
      </c>
      <c r="J4" s="21">
        <f t="shared" si="0"/>
        <v>46301</v>
      </c>
      <c r="K4" s="21">
        <f t="shared" si="0"/>
        <v>46302</v>
      </c>
      <c r="L4" s="21">
        <f t="shared" si="0"/>
        <v>46303</v>
      </c>
      <c r="M4" s="21">
        <f t="shared" si="0"/>
        <v>46304</v>
      </c>
      <c r="N4" s="21">
        <f t="shared" si="0"/>
        <v>46305</v>
      </c>
      <c r="O4" s="21">
        <f t="shared" si="0"/>
        <v>46306</v>
      </c>
      <c r="P4" s="21">
        <f t="shared" si="0"/>
        <v>46307</v>
      </c>
      <c r="Q4" s="21">
        <f t="shared" si="0"/>
        <v>46308</v>
      </c>
      <c r="R4" s="21">
        <f t="shared" si="0"/>
        <v>46309</v>
      </c>
      <c r="S4" s="21">
        <f t="shared" si="0"/>
        <v>46310</v>
      </c>
      <c r="T4" s="21">
        <f t="shared" si="0"/>
        <v>46311</v>
      </c>
      <c r="U4" s="21">
        <f t="shared" si="0"/>
        <v>46312</v>
      </c>
      <c r="V4" s="21">
        <f t="shared" si="0"/>
        <v>46313</v>
      </c>
      <c r="W4" s="21">
        <f t="shared" si="0"/>
        <v>46314</v>
      </c>
      <c r="X4" s="21">
        <f t="shared" si="0"/>
        <v>46315</v>
      </c>
      <c r="Y4" s="21">
        <f t="shared" si="0"/>
        <v>46316</v>
      </c>
      <c r="Z4" s="21">
        <f t="shared" si="0"/>
        <v>46317</v>
      </c>
      <c r="AA4" s="21">
        <f t="shared" si="0"/>
        <v>46318</v>
      </c>
      <c r="AB4" s="21">
        <f t="shared" si="0"/>
        <v>46319</v>
      </c>
      <c r="AC4" s="21">
        <f t="shared" si="0"/>
        <v>46320</v>
      </c>
      <c r="AD4" s="21">
        <f t="shared" si="0"/>
        <v>46321</v>
      </c>
      <c r="AE4" s="21">
        <f t="shared" si="0"/>
        <v>46322</v>
      </c>
      <c r="AF4" s="21">
        <f t="shared" si="0"/>
        <v>46323</v>
      </c>
      <c r="AG4" s="21">
        <f t="shared" si="0"/>
        <v>46324</v>
      </c>
      <c r="AH4" s="21">
        <f t="shared" si="0"/>
        <v>46325</v>
      </c>
      <c r="AI4" s="21">
        <f t="shared" si="0"/>
        <v>46326</v>
      </c>
      <c r="AJ4" s="22" t="s">
        <v>17</v>
      </c>
    </row>
    <row r="5" spans="2:45" ht="20.100000000000001" customHeight="1" x14ac:dyDescent="0.3">
      <c r="B5" s="35">
        <v>1</v>
      </c>
      <c r="C5" s="63"/>
      <c r="D5" s="60"/>
      <c r="E5" s="95">
        <f>COUNTIF('261001'!$C$18:$C$47,$C5)+COUNTIF('261001'!$I$18:$I$47,$C5)</f>
        <v>0</v>
      </c>
      <c r="F5" s="95">
        <f>COUNTIF('261002'!$C$18:$C$47,$C5)+COUNTIF('261002'!$I$18:$I$47,$C5)</f>
        <v>0</v>
      </c>
      <c r="G5" s="95">
        <f>COUNTIF('261003'!$C$18:$C$47,$C5)+COUNTIF('261003'!$I$18:$I$47,$C5)</f>
        <v>0</v>
      </c>
      <c r="H5" s="95">
        <f>COUNTIF('261004'!$C$18:$C$47,$C5)+COUNTIF('261004'!$I$18:$I$47,$C5)</f>
        <v>0</v>
      </c>
      <c r="I5" s="95">
        <f>COUNTIF('261005'!$C$18:$C$47,$C5)+COUNTIF('261005'!$I$18:$I$47,$C5)</f>
        <v>0</v>
      </c>
      <c r="J5" s="95">
        <f>COUNTIF('261006'!$C$18:$C$47,$C5)+COUNTIF('261006'!$I$18:$I$47,$C5)</f>
        <v>0</v>
      </c>
      <c r="K5" s="95">
        <f>COUNTIF('261007'!$C$18:$C$47,$C5)+COUNTIF('261007'!$I$18:$I$47,$C5)</f>
        <v>0</v>
      </c>
      <c r="L5" s="95">
        <f>COUNTIF('261008'!$C$18:$C$47,$C5)+COUNTIF('261008'!$I$18:$I$47,$C5)</f>
        <v>0</v>
      </c>
      <c r="M5" s="95">
        <f>COUNTIF('261009'!$C$18:$C$47,$C5)+COUNTIF('261009'!$I$18:$I$47,$C5)</f>
        <v>0</v>
      </c>
      <c r="N5" s="95">
        <f>COUNTIF('261010'!$C$18:$C$47,$C5)+COUNTIF('261010'!$I$18:$I$47,$C5)</f>
        <v>0</v>
      </c>
      <c r="O5" s="95">
        <f>COUNTIF('261011'!$C$18:$C$47,$C5)+COUNTIF('261011'!$I$18:$I$47,$C5)</f>
        <v>0</v>
      </c>
      <c r="P5" s="95">
        <f>COUNTIF('261012'!$C$18:$C$47,$C5)+COUNTIF('261012'!$I$18:$I$47,$C5)</f>
        <v>0</v>
      </c>
      <c r="Q5" s="95">
        <f>COUNTIF('261013'!$C$18:$C$47,$C5)+COUNTIF('261013'!$I$18:$I$47,$C5)</f>
        <v>0</v>
      </c>
      <c r="R5" s="95">
        <f>COUNTIF('261014'!$C$18:$C$47,$C5)+COUNTIF('261014'!$I$18:$I$47,$C5)</f>
        <v>0</v>
      </c>
      <c r="S5" s="95">
        <f>COUNTIF('261015'!$C$18:$C$47,$C5)+COUNTIF('261015'!$I$18:$I$47,$C5)</f>
        <v>0</v>
      </c>
      <c r="T5" s="95">
        <f>COUNTIF('261016'!$C$18:$C$47,$C5)+COUNTIF('261016'!$I$18:$I$47,$C5)</f>
        <v>0</v>
      </c>
      <c r="U5" s="95">
        <f>COUNTIF('261017'!$C$18:$C$47,$C5)+COUNTIF('261017'!$I$18:$I$47,$C5)</f>
        <v>0</v>
      </c>
      <c r="V5" s="95">
        <f>COUNTIF('261018'!$C$18:$C$47,$C5)+COUNTIF('261018'!$I$18:$I$47,$C5)</f>
        <v>0</v>
      </c>
      <c r="W5" s="95">
        <f>COUNTIF('261019'!$C$18:$C$47,$C5)+COUNTIF('261019'!$I$18:$I$47,$C5)</f>
        <v>0</v>
      </c>
      <c r="X5" s="95">
        <f>COUNTIF('261020'!$C$18:$C$47,$C5)+COUNTIF('261020'!$I$18:$I$47,$C5)</f>
        <v>0</v>
      </c>
      <c r="Y5" s="95">
        <f>COUNTIF('261021'!$C$18:$C$47,$C5)+COUNTIF('261021'!$I$18:$I$47,$C5)</f>
        <v>0</v>
      </c>
      <c r="Z5" s="95">
        <f>COUNTIF('261022'!$C$18:$C$47,$C5)+COUNTIF('261022'!$I$18:$I$47,$C5)</f>
        <v>0</v>
      </c>
      <c r="AA5" s="95">
        <f>COUNTIF('261023'!$C$18:$C$47,$C5)+COUNTIF('261023'!$I$18:$I$47,$C5)</f>
        <v>0</v>
      </c>
      <c r="AB5" s="95">
        <f>COUNTIF('261024'!$C$18:$C$47,$C5)+COUNTIF('261024'!$I$18:$I$47,$C5)</f>
        <v>0</v>
      </c>
      <c r="AC5" s="95">
        <f>COUNTIF('261025'!$C$18:$C$47,$C5)+COUNTIF('261025'!$I$18:$I$47,$C5)</f>
        <v>0</v>
      </c>
      <c r="AD5" s="95">
        <f>COUNTIF('261026'!$C$18:$C$47,$C5)+COUNTIF('261026'!$I$18:$I$47,$C5)</f>
        <v>0</v>
      </c>
      <c r="AE5" s="95">
        <f>COUNTIF('261027'!$C$18:$C$47,$C5)+COUNTIF('261027'!$I$18:$I$47,$C5)</f>
        <v>0</v>
      </c>
      <c r="AF5" s="95">
        <f>COUNTIF('261028'!$C$18:$C$47,$C5)+COUNTIF('261028'!$I$18:$I$47,$C5)</f>
        <v>0</v>
      </c>
      <c r="AG5" s="95">
        <f>COUNTIF('261029'!$C$18:$C$47,$C5)+COUNTIF('261029'!$I$18:$I$47,$C5)</f>
        <v>0</v>
      </c>
      <c r="AH5" s="95">
        <f>COUNTIF('261030'!$C$18:$C$47,$C5)+COUNTIF('261030'!$I$18:$I$47,$C5)</f>
        <v>0</v>
      </c>
      <c r="AI5" s="95">
        <f>COUNTIF('261031'!$C$18:$C$47,$C5)+COUNTIF('261031'!$I$18:$I$47,$C5)</f>
        <v>0</v>
      </c>
      <c r="AJ5" s="109">
        <f t="shared" ref="AJ5:AJ36" si="1">SUM(E5:AI5)</f>
        <v>0</v>
      </c>
      <c r="AS5" s="54"/>
    </row>
    <row r="6" spans="2:45" ht="20.100000000000001" customHeight="1" x14ac:dyDescent="0.3">
      <c r="B6" s="36">
        <v>2</v>
      </c>
      <c r="C6" s="62"/>
      <c r="D6" s="56"/>
      <c r="E6" s="94">
        <f>COUNTIF('261001'!$C$18:$C$47,$C6)+COUNTIF('261001'!$I$18:$I$47,$C6)</f>
        <v>0</v>
      </c>
      <c r="F6" s="94">
        <f>COUNTIF('261002'!$C$18:$C$47,$C6)+COUNTIF('261002'!$I$18:$I$47,$C6)</f>
        <v>0</v>
      </c>
      <c r="G6" s="94">
        <f>COUNTIF('261003'!$C$18:$C$47,$C6)+COUNTIF('261003'!$I$18:$I$47,$C6)</f>
        <v>0</v>
      </c>
      <c r="H6" s="94">
        <f>COUNTIF('261004'!$C$18:$C$47,$C6)+COUNTIF('261004'!$I$18:$I$47,$C6)</f>
        <v>0</v>
      </c>
      <c r="I6" s="94">
        <f>COUNTIF('261005'!$C$18:$C$47,$C6)+COUNTIF('261005'!$I$18:$I$47,$C6)</f>
        <v>0</v>
      </c>
      <c r="J6" s="94">
        <f>COUNTIF('261006'!$C$18:$C$47,$C6)+COUNTIF('261006'!$I$18:$I$47,$C6)</f>
        <v>0</v>
      </c>
      <c r="K6" s="94">
        <f>COUNTIF('261007'!$C$18:$C$47,$C6)+COUNTIF('261007'!$I$18:$I$47,$C6)</f>
        <v>0</v>
      </c>
      <c r="L6" s="94">
        <f>COUNTIF('261008'!$C$18:$C$47,$C6)+COUNTIF('261008'!$I$18:$I$47,$C6)</f>
        <v>0</v>
      </c>
      <c r="M6" s="94">
        <f>COUNTIF('261009'!$C$18:$C$47,$C6)+COUNTIF('261009'!$I$18:$I$47,$C6)</f>
        <v>0</v>
      </c>
      <c r="N6" s="94">
        <f>COUNTIF('261010'!$C$18:$C$47,$C6)+COUNTIF('261010'!$I$18:$I$47,$C6)</f>
        <v>0</v>
      </c>
      <c r="O6" s="94">
        <f>COUNTIF('261011'!$C$18:$C$47,$C6)+COUNTIF('261011'!$I$18:$I$47,$C6)</f>
        <v>0</v>
      </c>
      <c r="P6" s="94">
        <f>COUNTIF('261012'!$C$18:$C$47,$C6)+COUNTIF('261012'!$I$18:$I$47,$C6)</f>
        <v>0</v>
      </c>
      <c r="Q6" s="94">
        <f>COUNTIF('261013'!$C$18:$C$47,$C6)+COUNTIF('261013'!$I$18:$I$47,$C6)</f>
        <v>0</v>
      </c>
      <c r="R6" s="94">
        <f>COUNTIF('261014'!$C$18:$C$47,$C6)+COUNTIF('261014'!$I$18:$I$47,$C6)</f>
        <v>0</v>
      </c>
      <c r="S6" s="94">
        <f>COUNTIF('261015'!$C$18:$C$47,$C6)+COUNTIF('261015'!$I$18:$I$47,$C6)</f>
        <v>0</v>
      </c>
      <c r="T6" s="94">
        <f>COUNTIF('261016'!$C$18:$C$47,$C6)+COUNTIF('261016'!$I$18:$I$47,$C6)</f>
        <v>0</v>
      </c>
      <c r="U6" s="94">
        <f>COUNTIF('261017'!$C$18:$C$47,$C6)+COUNTIF('261017'!$I$18:$I$47,$C6)</f>
        <v>0</v>
      </c>
      <c r="V6" s="94">
        <f>COUNTIF('261018'!$C$18:$C$47,$C6)+COUNTIF('261018'!$I$18:$I$47,$C6)</f>
        <v>0</v>
      </c>
      <c r="W6" s="94">
        <f>COUNTIF('261019'!$C$18:$C$47,$C6)+COUNTIF('261019'!$I$18:$I$47,$C6)</f>
        <v>0</v>
      </c>
      <c r="X6" s="94">
        <f>COUNTIF('261020'!$C$18:$C$47,$C6)+COUNTIF('261020'!$I$18:$I$47,$C6)</f>
        <v>0</v>
      </c>
      <c r="Y6" s="94">
        <f>COUNTIF('261021'!$C$18:$C$47,$C6)+COUNTIF('261021'!$I$18:$I$47,$C6)</f>
        <v>0</v>
      </c>
      <c r="Z6" s="94">
        <f>COUNTIF('261022'!$C$18:$C$47,$C6)+COUNTIF('261022'!$I$18:$I$47,$C6)</f>
        <v>0</v>
      </c>
      <c r="AA6" s="94">
        <f>COUNTIF('261023'!$C$18:$C$47,$C6)+COUNTIF('261023'!$I$18:$I$47,$C6)</f>
        <v>0</v>
      </c>
      <c r="AB6" s="94">
        <f>COUNTIF('261024'!$C$18:$C$47,$C6)+COUNTIF('261024'!$I$18:$I$47,$C6)</f>
        <v>0</v>
      </c>
      <c r="AC6" s="94">
        <f>COUNTIF('261025'!$C$18:$C$47,$C6)+COUNTIF('261025'!$I$18:$I$47,$C6)</f>
        <v>0</v>
      </c>
      <c r="AD6" s="94">
        <f>COUNTIF('261026'!$C$18:$C$47,$C6)+COUNTIF('261026'!$I$18:$I$47,$C6)</f>
        <v>0</v>
      </c>
      <c r="AE6" s="94">
        <f>COUNTIF('261027'!$C$18:$C$47,$C6)+COUNTIF('261027'!$I$18:$I$47,$C6)</f>
        <v>0</v>
      </c>
      <c r="AF6" s="94">
        <f>COUNTIF('261028'!$C$18:$C$47,$C6)+COUNTIF('261028'!$I$18:$I$47,$C6)</f>
        <v>0</v>
      </c>
      <c r="AG6" s="94">
        <f>COUNTIF('261029'!$C$18:$C$47,$C6)+COUNTIF('261029'!$I$18:$I$47,$C6)</f>
        <v>0</v>
      </c>
      <c r="AH6" s="94">
        <f>COUNTIF('261030'!$C$18:$C$47,$C6)+COUNTIF('261030'!$I$18:$I$47,$C6)</f>
        <v>0</v>
      </c>
      <c r="AI6" s="94">
        <f>COUNTIF('261031'!$C$18:$C$47,$C6)+COUNTIF('261031'!$I$18:$I$47,$C6)</f>
        <v>0</v>
      </c>
      <c r="AJ6" s="110">
        <f t="shared" si="1"/>
        <v>0</v>
      </c>
      <c r="AS6" s="54"/>
    </row>
    <row r="7" spans="2:45" ht="20.100000000000001" customHeight="1" x14ac:dyDescent="0.3">
      <c r="B7" s="36">
        <v>3</v>
      </c>
      <c r="C7" s="62"/>
      <c r="D7" s="56"/>
      <c r="E7" s="94">
        <f>COUNTIF('261001'!$C$18:$C$47,$C7)+COUNTIF('261001'!$I$18:$I$47,$C7)</f>
        <v>0</v>
      </c>
      <c r="F7" s="94">
        <f>COUNTIF('261002'!$C$18:$C$47,$C7)+COUNTIF('261002'!$I$18:$I$47,$C7)</f>
        <v>0</v>
      </c>
      <c r="G7" s="94">
        <f>COUNTIF('261003'!$C$18:$C$47,$C7)+COUNTIF('261003'!$I$18:$I$47,$C7)</f>
        <v>0</v>
      </c>
      <c r="H7" s="94">
        <f>COUNTIF('261004'!$C$18:$C$47,$C7)+COUNTIF('261004'!$I$18:$I$47,$C7)</f>
        <v>0</v>
      </c>
      <c r="I7" s="94">
        <f>COUNTIF('261005'!$C$18:$C$47,$C7)+COUNTIF('261005'!$I$18:$I$47,$C7)</f>
        <v>0</v>
      </c>
      <c r="J7" s="94">
        <f>COUNTIF('261006'!$C$18:$C$47,$C7)+COUNTIF('261006'!$I$18:$I$47,$C7)</f>
        <v>0</v>
      </c>
      <c r="K7" s="94">
        <f>COUNTIF('261007'!$C$18:$C$47,$C7)+COUNTIF('261007'!$I$18:$I$47,$C7)</f>
        <v>0</v>
      </c>
      <c r="L7" s="94">
        <f>COUNTIF('261008'!$C$18:$C$47,$C7)+COUNTIF('261008'!$I$18:$I$47,$C7)</f>
        <v>0</v>
      </c>
      <c r="M7" s="94">
        <f>COUNTIF('261009'!$C$18:$C$47,$C7)+COUNTIF('261009'!$I$18:$I$47,$C7)</f>
        <v>0</v>
      </c>
      <c r="N7" s="94">
        <f>COUNTIF('261010'!$C$18:$C$47,$C7)+COUNTIF('261010'!$I$18:$I$47,$C7)</f>
        <v>0</v>
      </c>
      <c r="O7" s="94">
        <f>COUNTIF('261011'!$C$18:$C$47,$C7)+COUNTIF('261011'!$I$18:$I$47,$C7)</f>
        <v>0</v>
      </c>
      <c r="P7" s="94">
        <f>COUNTIF('261012'!$C$18:$C$47,$C7)+COUNTIF('261012'!$I$18:$I$47,$C7)</f>
        <v>0</v>
      </c>
      <c r="Q7" s="94">
        <f>COUNTIF('261013'!$C$18:$C$47,$C7)+COUNTIF('261013'!$I$18:$I$47,$C7)</f>
        <v>0</v>
      </c>
      <c r="R7" s="94">
        <f>COUNTIF('261014'!$C$18:$C$47,$C7)+COUNTIF('261014'!$I$18:$I$47,$C7)</f>
        <v>0</v>
      </c>
      <c r="S7" s="94">
        <f>COUNTIF('261015'!$C$18:$C$47,$C7)+COUNTIF('261015'!$I$18:$I$47,$C7)</f>
        <v>0</v>
      </c>
      <c r="T7" s="94">
        <f>COUNTIF('261016'!$C$18:$C$47,$C7)+COUNTIF('261016'!$I$18:$I$47,$C7)</f>
        <v>0</v>
      </c>
      <c r="U7" s="94">
        <f>COUNTIF('261017'!$C$18:$C$47,$C7)+COUNTIF('261017'!$I$18:$I$47,$C7)</f>
        <v>0</v>
      </c>
      <c r="V7" s="94">
        <f>COUNTIF('261018'!$C$18:$C$47,$C7)+COUNTIF('261018'!$I$18:$I$47,$C7)</f>
        <v>0</v>
      </c>
      <c r="W7" s="94">
        <f>COUNTIF('261019'!$C$18:$C$47,$C7)+COUNTIF('261019'!$I$18:$I$47,$C7)</f>
        <v>0</v>
      </c>
      <c r="X7" s="94">
        <f>COUNTIF('261020'!$C$18:$C$47,$C7)+COUNTIF('261020'!$I$18:$I$47,$C7)</f>
        <v>0</v>
      </c>
      <c r="Y7" s="94">
        <f>COUNTIF('261021'!$C$18:$C$47,$C7)+COUNTIF('261021'!$I$18:$I$47,$C7)</f>
        <v>0</v>
      </c>
      <c r="Z7" s="94">
        <f>COUNTIF('261022'!$C$18:$C$47,$C7)+COUNTIF('261022'!$I$18:$I$47,$C7)</f>
        <v>0</v>
      </c>
      <c r="AA7" s="94">
        <f>COUNTIF('261023'!$C$18:$C$47,$C7)+COUNTIF('261023'!$I$18:$I$47,$C7)</f>
        <v>0</v>
      </c>
      <c r="AB7" s="94">
        <f>COUNTIF('261024'!$C$18:$C$47,$C7)+COUNTIF('261024'!$I$18:$I$47,$C7)</f>
        <v>0</v>
      </c>
      <c r="AC7" s="94">
        <f>COUNTIF('261025'!$C$18:$C$47,$C7)+COUNTIF('261025'!$I$18:$I$47,$C7)</f>
        <v>0</v>
      </c>
      <c r="AD7" s="94">
        <f>COUNTIF('261026'!$C$18:$C$47,$C7)+COUNTIF('261026'!$I$18:$I$47,$C7)</f>
        <v>0</v>
      </c>
      <c r="AE7" s="94">
        <f>COUNTIF('261027'!$C$18:$C$47,$C7)+COUNTIF('261027'!$I$18:$I$47,$C7)</f>
        <v>0</v>
      </c>
      <c r="AF7" s="94">
        <f>COUNTIF('261028'!$C$18:$C$47,$C7)+COUNTIF('261028'!$I$18:$I$47,$C7)</f>
        <v>0</v>
      </c>
      <c r="AG7" s="94">
        <f>COUNTIF('261029'!$C$18:$C$47,$C7)+COUNTIF('261029'!$I$18:$I$47,$C7)</f>
        <v>0</v>
      </c>
      <c r="AH7" s="94">
        <f>COUNTIF('261030'!$C$18:$C$47,$C7)+COUNTIF('261030'!$I$18:$I$47,$C7)</f>
        <v>0</v>
      </c>
      <c r="AI7" s="94">
        <f>COUNTIF('261031'!$C$18:$C$47,$C7)+COUNTIF('261031'!$I$18:$I$47,$C7)</f>
        <v>0</v>
      </c>
      <c r="AJ7" s="110">
        <f t="shared" si="1"/>
        <v>0</v>
      </c>
    </row>
    <row r="8" spans="2:45" ht="20.100000000000001" customHeight="1" x14ac:dyDescent="0.3">
      <c r="B8" s="36">
        <f t="shared" ref="B8:B103" si="2">B7+1</f>
        <v>4</v>
      </c>
      <c r="C8" s="62"/>
      <c r="D8" s="56"/>
      <c r="E8" s="94">
        <f>COUNTIF('261001'!$C$18:$C$47,$C8)+COUNTIF('261001'!$I$18:$I$47,$C8)</f>
        <v>0</v>
      </c>
      <c r="F8" s="94">
        <f>COUNTIF('261002'!$C$18:$C$47,$C8)+COUNTIF('261002'!$I$18:$I$47,$C8)</f>
        <v>0</v>
      </c>
      <c r="G8" s="94">
        <f>COUNTIF('261003'!$C$18:$C$47,$C8)+COUNTIF('261003'!$I$18:$I$47,$C8)</f>
        <v>0</v>
      </c>
      <c r="H8" s="94">
        <f>COUNTIF('261004'!$C$18:$C$47,$C8)+COUNTIF('261004'!$I$18:$I$47,$C8)</f>
        <v>0</v>
      </c>
      <c r="I8" s="94">
        <f>COUNTIF('261005'!$C$18:$C$47,$C8)+COUNTIF('261005'!$I$18:$I$47,$C8)</f>
        <v>0</v>
      </c>
      <c r="J8" s="94">
        <f>COUNTIF('261006'!$C$18:$C$47,$C8)+COUNTIF('261006'!$I$18:$I$47,$C8)</f>
        <v>0</v>
      </c>
      <c r="K8" s="94">
        <f>COUNTIF('261007'!$C$18:$C$47,$C8)+COUNTIF('261007'!$I$18:$I$47,$C8)</f>
        <v>0</v>
      </c>
      <c r="L8" s="94">
        <f>COUNTIF('261008'!$C$18:$C$47,$C8)+COUNTIF('261008'!$I$18:$I$47,$C8)</f>
        <v>0</v>
      </c>
      <c r="M8" s="94">
        <f>COUNTIF('261009'!$C$18:$C$47,$C8)+COUNTIF('261009'!$I$18:$I$47,$C8)</f>
        <v>0</v>
      </c>
      <c r="N8" s="94">
        <f>COUNTIF('261010'!$C$18:$C$47,$C8)+COUNTIF('261010'!$I$18:$I$47,$C8)</f>
        <v>0</v>
      </c>
      <c r="O8" s="94">
        <f>COUNTIF('261011'!$C$18:$C$47,$C8)+COUNTIF('261011'!$I$18:$I$47,$C8)</f>
        <v>0</v>
      </c>
      <c r="P8" s="94">
        <f>COUNTIF('261012'!$C$18:$C$47,$C8)+COUNTIF('261012'!$I$18:$I$47,$C8)</f>
        <v>0</v>
      </c>
      <c r="Q8" s="94">
        <f>COUNTIF('261013'!$C$18:$C$47,$C8)+COUNTIF('261013'!$I$18:$I$47,$C8)</f>
        <v>0</v>
      </c>
      <c r="R8" s="94">
        <f>COUNTIF('261014'!$C$18:$C$47,$C8)+COUNTIF('261014'!$I$18:$I$47,$C8)</f>
        <v>0</v>
      </c>
      <c r="S8" s="94">
        <f>COUNTIF('261015'!$C$18:$C$47,$C8)+COUNTIF('261015'!$I$18:$I$47,$C8)</f>
        <v>0</v>
      </c>
      <c r="T8" s="94">
        <f>COUNTIF('261016'!$C$18:$C$47,$C8)+COUNTIF('261016'!$I$18:$I$47,$C8)</f>
        <v>0</v>
      </c>
      <c r="U8" s="94">
        <f>COUNTIF('261017'!$C$18:$C$47,$C8)+COUNTIF('261017'!$I$18:$I$47,$C8)</f>
        <v>0</v>
      </c>
      <c r="V8" s="94">
        <f>COUNTIF('261018'!$C$18:$C$47,$C8)+COUNTIF('261018'!$I$18:$I$47,$C8)</f>
        <v>0</v>
      </c>
      <c r="W8" s="94">
        <f>COUNTIF('261019'!$C$18:$C$47,$C8)+COUNTIF('261019'!$I$18:$I$47,$C8)</f>
        <v>0</v>
      </c>
      <c r="X8" s="94">
        <f>COUNTIF('261020'!$C$18:$C$47,$C8)+COUNTIF('261020'!$I$18:$I$47,$C8)</f>
        <v>0</v>
      </c>
      <c r="Y8" s="94">
        <f>COUNTIF('261021'!$C$18:$C$47,$C8)+COUNTIF('261021'!$I$18:$I$47,$C8)</f>
        <v>0</v>
      </c>
      <c r="Z8" s="94">
        <f>COUNTIF('261022'!$C$18:$C$47,$C8)+COUNTIF('261022'!$I$18:$I$47,$C8)</f>
        <v>0</v>
      </c>
      <c r="AA8" s="94">
        <f>COUNTIF('261023'!$C$18:$C$47,$C8)+COUNTIF('261023'!$I$18:$I$47,$C8)</f>
        <v>0</v>
      </c>
      <c r="AB8" s="94">
        <f>COUNTIF('261024'!$C$18:$C$47,$C8)+COUNTIF('261024'!$I$18:$I$47,$C8)</f>
        <v>0</v>
      </c>
      <c r="AC8" s="94">
        <f>COUNTIF('261025'!$C$18:$C$47,$C8)+COUNTIF('261025'!$I$18:$I$47,$C8)</f>
        <v>0</v>
      </c>
      <c r="AD8" s="94">
        <f>COUNTIF('261026'!$C$18:$C$47,$C8)+COUNTIF('261026'!$I$18:$I$47,$C8)</f>
        <v>0</v>
      </c>
      <c r="AE8" s="94">
        <f>COUNTIF('261027'!$C$18:$C$47,$C8)+COUNTIF('261027'!$I$18:$I$47,$C8)</f>
        <v>0</v>
      </c>
      <c r="AF8" s="94">
        <f>COUNTIF('261028'!$C$18:$C$47,$C8)+COUNTIF('261028'!$I$18:$I$47,$C8)</f>
        <v>0</v>
      </c>
      <c r="AG8" s="94">
        <f>COUNTIF('261029'!$C$18:$C$47,$C8)+COUNTIF('261029'!$I$18:$I$47,$C8)</f>
        <v>0</v>
      </c>
      <c r="AH8" s="94">
        <f>COUNTIF('261030'!$C$18:$C$47,$C8)+COUNTIF('261030'!$I$18:$I$47,$C8)</f>
        <v>0</v>
      </c>
      <c r="AI8" s="94">
        <f>COUNTIF('261031'!$C$18:$C$47,$C8)+COUNTIF('261031'!$I$18:$I$47,$C8)</f>
        <v>0</v>
      </c>
      <c r="AJ8" s="110">
        <f t="shared" si="1"/>
        <v>0</v>
      </c>
      <c r="AS8" s="54"/>
    </row>
    <row r="9" spans="2:45" ht="20.100000000000001" customHeight="1" x14ac:dyDescent="0.3">
      <c r="B9" s="36">
        <f t="shared" si="2"/>
        <v>5</v>
      </c>
      <c r="C9" s="62"/>
      <c r="D9" s="56"/>
      <c r="E9" s="94">
        <f>COUNTIF('261001'!$C$18:$C$47,$C9)+COUNTIF('261001'!$I$18:$I$47,$C9)</f>
        <v>0</v>
      </c>
      <c r="F9" s="94">
        <f>COUNTIF('261002'!$C$18:$C$47,$C9)+COUNTIF('261002'!$I$18:$I$47,$C9)</f>
        <v>0</v>
      </c>
      <c r="G9" s="94">
        <f>COUNTIF('261003'!$C$18:$C$47,$C9)+COUNTIF('261003'!$I$18:$I$47,$C9)</f>
        <v>0</v>
      </c>
      <c r="H9" s="94">
        <f>COUNTIF('261004'!$C$18:$C$47,$C9)+COUNTIF('261004'!$I$18:$I$47,$C9)</f>
        <v>0</v>
      </c>
      <c r="I9" s="94">
        <f>COUNTIF('261005'!$C$18:$C$47,$C9)+COUNTIF('261005'!$I$18:$I$47,$C9)</f>
        <v>0</v>
      </c>
      <c r="J9" s="94">
        <f>COUNTIF('261006'!$C$18:$C$47,$C9)+COUNTIF('261006'!$I$18:$I$47,$C9)</f>
        <v>0</v>
      </c>
      <c r="K9" s="94">
        <f>COUNTIF('261007'!$C$18:$C$47,$C9)+COUNTIF('261007'!$I$18:$I$47,$C9)</f>
        <v>0</v>
      </c>
      <c r="L9" s="94">
        <f>COUNTIF('261008'!$C$18:$C$47,$C9)+COUNTIF('261008'!$I$18:$I$47,$C9)</f>
        <v>0</v>
      </c>
      <c r="M9" s="94">
        <f>COUNTIF('261009'!$C$18:$C$47,$C9)+COUNTIF('261009'!$I$18:$I$47,$C9)</f>
        <v>0</v>
      </c>
      <c r="N9" s="94">
        <f>COUNTIF('261010'!$C$18:$C$47,$C9)+COUNTIF('261010'!$I$18:$I$47,$C9)</f>
        <v>0</v>
      </c>
      <c r="O9" s="94">
        <f>COUNTIF('261011'!$C$18:$C$47,$C9)+COUNTIF('261011'!$I$18:$I$47,$C9)</f>
        <v>0</v>
      </c>
      <c r="P9" s="94">
        <f>COUNTIF('261012'!$C$18:$C$47,$C9)+COUNTIF('261012'!$I$18:$I$47,$C9)</f>
        <v>0</v>
      </c>
      <c r="Q9" s="94">
        <f>COUNTIF('261013'!$C$18:$C$47,$C9)+COUNTIF('261013'!$I$18:$I$47,$C9)</f>
        <v>0</v>
      </c>
      <c r="R9" s="94">
        <f>COUNTIF('261014'!$C$18:$C$47,$C9)+COUNTIF('261014'!$I$18:$I$47,$C9)</f>
        <v>0</v>
      </c>
      <c r="S9" s="94">
        <f>COUNTIF('261015'!$C$18:$C$47,$C9)+COUNTIF('261015'!$I$18:$I$47,$C9)</f>
        <v>0</v>
      </c>
      <c r="T9" s="94">
        <f>COUNTIF('261016'!$C$18:$C$47,$C9)+COUNTIF('261016'!$I$18:$I$47,$C9)</f>
        <v>0</v>
      </c>
      <c r="U9" s="94">
        <f>COUNTIF('261017'!$C$18:$C$47,$C9)+COUNTIF('261017'!$I$18:$I$47,$C9)</f>
        <v>0</v>
      </c>
      <c r="V9" s="94">
        <f>COUNTIF('261018'!$C$18:$C$47,$C9)+COUNTIF('261018'!$I$18:$I$47,$C9)</f>
        <v>0</v>
      </c>
      <c r="W9" s="94">
        <f>COUNTIF('261019'!$C$18:$C$47,$C9)+COUNTIF('261019'!$I$18:$I$47,$C9)</f>
        <v>0</v>
      </c>
      <c r="X9" s="94">
        <f>COUNTIF('261020'!$C$18:$C$47,$C9)+COUNTIF('261020'!$I$18:$I$47,$C9)</f>
        <v>0</v>
      </c>
      <c r="Y9" s="94">
        <f>COUNTIF('261021'!$C$18:$C$47,$C9)+COUNTIF('261021'!$I$18:$I$47,$C9)</f>
        <v>0</v>
      </c>
      <c r="Z9" s="94">
        <f>COUNTIF('261022'!$C$18:$C$47,$C9)+COUNTIF('261022'!$I$18:$I$47,$C9)</f>
        <v>0</v>
      </c>
      <c r="AA9" s="94">
        <f>COUNTIF('261023'!$C$18:$C$47,$C9)+COUNTIF('261023'!$I$18:$I$47,$C9)</f>
        <v>0</v>
      </c>
      <c r="AB9" s="94">
        <f>COUNTIF('261024'!$C$18:$C$47,$C9)+COUNTIF('261024'!$I$18:$I$47,$C9)</f>
        <v>0</v>
      </c>
      <c r="AC9" s="94">
        <f>COUNTIF('261025'!$C$18:$C$47,$C9)+COUNTIF('261025'!$I$18:$I$47,$C9)</f>
        <v>0</v>
      </c>
      <c r="AD9" s="94">
        <f>COUNTIF('261026'!$C$18:$C$47,$C9)+COUNTIF('261026'!$I$18:$I$47,$C9)</f>
        <v>0</v>
      </c>
      <c r="AE9" s="94">
        <f>COUNTIF('261027'!$C$18:$C$47,$C9)+COUNTIF('261027'!$I$18:$I$47,$C9)</f>
        <v>0</v>
      </c>
      <c r="AF9" s="94">
        <f>COUNTIF('261028'!$C$18:$C$47,$C9)+COUNTIF('261028'!$I$18:$I$47,$C9)</f>
        <v>0</v>
      </c>
      <c r="AG9" s="94">
        <f>COUNTIF('261029'!$C$18:$C$47,$C9)+COUNTIF('261029'!$I$18:$I$47,$C9)</f>
        <v>0</v>
      </c>
      <c r="AH9" s="94">
        <f>COUNTIF('261030'!$C$18:$C$47,$C9)+COUNTIF('261030'!$I$18:$I$47,$C9)</f>
        <v>0</v>
      </c>
      <c r="AI9" s="94">
        <f>COUNTIF('261031'!$C$18:$C$47,$C9)+COUNTIF('261031'!$I$18:$I$47,$C9)</f>
        <v>0</v>
      </c>
      <c r="AJ9" s="110">
        <f t="shared" si="1"/>
        <v>0</v>
      </c>
    </row>
    <row r="10" spans="2:45" ht="20.100000000000001" customHeight="1" x14ac:dyDescent="0.3">
      <c r="B10" s="36">
        <f t="shared" si="2"/>
        <v>6</v>
      </c>
      <c r="C10" s="56"/>
      <c r="D10" s="56"/>
      <c r="E10" s="94">
        <f>COUNTIF('261001'!$C$18:$C$47,$C10)+COUNTIF('261001'!$I$18:$I$47,$C10)</f>
        <v>0</v>
      </c>
      <c r="F10" s="94">
        <f>COUNTIF('261002'!$C$18:$C$47,$C10)+COUNTIF('261002'!$I$18:$I$47,$C10)</f>
        <v>0</v>
      </c>
      <c r="G10" s="94">
        <f>COUNTIF('261003'!$C$18:$C$47,$C10)+COUNTIF('261003'!$I$18:$I$47,$C10)</f>
        <v>0</v>
      </c>
      <c r="H10" s="94">
        <f>COUNTIF('261004'!$C$18:$C$47,$C10)+COUNTIF('261004'!$I$18:$I$47,$C10)</f>
        <v>0</v>
      </c>
      <c r="I10" s="94">
        <f>COUNTIF('261005'!$C$18:$C$47,$C10)+COUNTIF('261005'!$I$18:$I$47,$C10)</f>
        <v>0</v>
      </c>
      <c r="J10" s="94">
        <f>COUNTIF('261006'!$C$18:$C$47,$C10)+COUNTIF('261006'!$I$18:$I$47,$C10)</f>
        <v>0</v>
      </c>
      <c r="K10" s="94">
        <f>COUNTIF('261007'!$C$18:$C$47,$C10)+COUNTIF('261007'!$I$18:$I$47,$C10)</f>
        <v>0</v>
      </c>
      <c r="L10" s="94">
        <f>COUNTIF('261008'!$C$18:$C$47,$C10)+COUNTIF('261008'!$I$18:$I$47,$C10)</f>
        <v>0</v>
      </c>
      <c r="M10" s="94">
        <f>COUNTIF('261009'!$C$18:$C$47,$C10)+COUNTIF('261009'!$I$18:$I$47,$C10)</f>
        <v>0</v>
      </c>
      <c r="N10" s="94">
        <f>COUNTIF('261010'!$C$18:$C$47,$C10)+COUNTIF('261010'!$I$18:$I$47,$C10)</f>
        <v>0</v>
      </c>
      <c r="O10" s="94">
        <f>COUNTIF('261011'!$C$18:$C$47,$C10)+COUNTIF('261011'!$I$18:$I$47,$C10)</f>
        <v>0</v>
      </c>
      <c r="P10" s="94">
        <f>COUNTIF('261012'!$C$18:$C$47,$C10)+COUNTIF('261012'!$I$18:$I$47,$C10)</f>
        <v>0</v>
      </c>
      <c r="Q10" s="94">
        <f>COUNTIF('261013'!$C$18:$C$47,$C10)+COUNTIF('261013'!$I$18:$I$47,$C10)</f>
        <v>0</v>
      </c>
      <c r="R10" s="94">
        <f>COUNTIF('261014'!$C$18:$C$47,$C10)+COUNTIF('261014'!$I$18:$I$47,$C10)</f>
        <v>0</v>
      </c>
      <c r="S10" s="94">
        <f>COUNTIF('261015'!$C$18:$C$47,$C10)+COUNTIF('261015'!$I$18:$I$47,$C10)</f>
        <v>0</v>
      </c>
      <c r="T10" s="94">
        <f>COUNTIF('261016'!$C$18:$C$47,$C10)+COUNTIF('261016'!$I$18:$I$47,$C10)</f>
        <v>0</v>
      </c>
      <c r="U10" s="94">
        <f>COUNTIF('261017'!$C$18:$C$47,$C10)+COUNTIF('261017'!$I$18:$I$47,$C10)</f>
        <v>0</v>
      </c>
      <c r="V10" s="94">
        <f>COUNTIF('261018'!$C$18:$C$47,$C10)+COUNTIF('261018'!$I$18:$I$47,$C10)</f>
        <v>0</v>
      </c>
      <c r="W10" s="94">
        <f>COUNTIF('261019'!$C$18:$C$47,$C10)+COUNTIF('261019'!$I$18:$I$47,$C10)</f>
        <v>0</v>
      </c>
      <c r="X10" s="94">
        <f>COUNTIF('261020'!$C$18:$C$47,$C10)+COUNTIF('261020'!$I$18:$I$47,$C10)</f>
        <v>0</v>
      </c>
      <c r="Y10" s="94">
        <f>COUNTIF('261021'!$C$18:$C$47,$C10)+COUNTIF('261021'!$I$18:$I$47,$C10)</f>
        <v>0</v>
      </c>
      <c r="Z10" s="94">
        <f>COUNTIF('261022'!$C$18:$C$47,$C10)+COUNTIF('261022'!$I$18:$I$47,$C10)</f>
        <v>0</v>
      </c>
      <c r="AA10" s="94">
        <f>COUNTIF('261023'!$C$18:$C$47,$C10)+COUNTIF('261023'!$I$18:$I$47,$C10)</f>
        <v>0</v>
      </c>
      <c r="AB10" s="94">
        <f>COUNTIF('261024'!$C$18:$C$47,$C10)+COUNTIF('261024'!$I$18:$I$47,$C10)</f>
        <v>0</v>
      </c>
      <c r="AC10" s="94">
        <f>COUNTIF('261025'!$C$18:$C$47,$C10)+COUNTIF('261025'!$I$18:$I$47,$C10)</f>
        <v>0</v>
      </c>
      <c r="AD10" s="94">
        <f>COUNTIF('261026'!$C$18:$C$47,$C10)+COUNTIF('261026'!$I$18:$I$47,$C10)</f>
        <v>0</v>
      </c>
      <c r="AE10" s="94">
        <f>COUNTIF('261027'!$C$18:$C$47,$C10)+COUNTIF('261027'!$I$18:$I$47,$C10)</f>
        <v>0</v>
      </c>
      <c r="AF10" s="94">
        <f>COUNTIF('261028'!$C$18:$C$47,$C10)+COUNTIF('261028'!$I$18:$I$47,$C10)</f>
        <v>0</v>
      </c>
      <c r="AG10" s="94">
        <f>COUNTIF('261029'!$C$18:$C$47,$C10)+COUNTIF('261029'!$I$18:$I$47,$C10)</f>
        <v>0</v>
      </c>
      <c r="AH10" s="94">
        <f>COUNTIF('261030'!$C$18:$C$47,$C10)+COUNTIF('261030'!$I$18:$I$47,$C10)</f>
        <v>0</v>
      </c>
      <c r="AI10" s="94">
        <f>COUNTIF('261031'!$C$18:$C$47,$C10)+COUNTIF('261031'!$I$18:$I$47,$C10)</f>
        <v>0</v>
      </c>
      <c r="AJ10" s="110">
        <f t="shared" si="1"/>
        <v>0</v>
      </c>
      <c r="AS10" s="54"/>
    </row>
    <row r="11" spans="2:45" ht="20.100000000000001" customHeight="1" x14ac:dyDescent="0.3">
      <c r="B11" s="36">
        <f t="shared" si="2"/>
        <v>7</v>
      </c>
      <c r="C11" s="56"/>
      <c r="D11" s="56"/>
      <c r="E11" s="94">
        <f>COUNTIF('261001'!$C$18:$C$47,$C11)+COUNTIF('261001'!$I$18:$I$47,$C11)</f>
        <v>0</v>
      </c>
      <c r="F11" s="94">
        <f>COUNTIF('261002'!$C$18:$C$47,$C11)+COUNTIF('261002'!$I$18:$I$47,$C11)</f>
        <v>0</v>
      </c>
      <c r="G11" s="94">
        <f>COUNTIF('261003'!$C$18:$C$47,$C11)+COUNTIF('261003'!$I$18:$I$47,$C11)</f>
        <v>0</v>
      </c>
      <c r="H11" s="94">
        <f>COUNTIF('261004'!$C$18:$C$47,$C11)+COUNTIF('261004'!$I$18:$I$47,$C11)</f>
        <v>0</v>
      </c>
      <c r="I11" s="94">
        <f>COUNTIF('261005'!$C$18:$C$47,$C11)+COUNTIF('261005'!$I$18:$I$47,$C11)</f>
        <v>0</v>
      </c>
      <c r="J11" s="94">
        <f>COUNTIF('261006'!$C$18:$C$47,$C11)+COUNTIF('261006'!$I$18:$I$47,$C11)</f>
        <v>0</v>
      </c>
      <c r="K11" s="94">
        <f>COUNTIF('261007'!$C$18:$C$47,$C11)+COUNTIF('261007'!$I$18:$I$47,$C11)</f>
        <v>0</v>
      </c>
      <c r="L11" s="94">
        <f>COUNTIF('261008'!$C$18:$C$47,$C11)+COUNTIF('261008'!$I$18:$I$47,$C11)</f>
        <v>0</v>
      </c>
      <c r="M11" s="94">
        <f>COUNTIF('261009'!$C$18:$C$47,$C11)+COUNTIF('261009'!$I$18:$I$47,$C11)</f>
        <v>0</v>
      </c>
      <c r="N11" s="94">
        <f>COUNTIF('261010'!$C$18:$C$47,$C11)+COUNTIF('261010'!$I$18:$I$47,$C11)</f>
        <v>0</v>
      </c>
      <c r="O11" s="94">
        <f>COUNTIF('261011'!$C$18:$C$47,$C11)+COUNTIF('261011'!$I$18:$I$47,$C11)</f>
        <v>0</v>
      </c>
      <c r="P11" s="94">
        <f>COUNTIF('261012'!$C$18:$C$47,$C11)+COUNTIF('261012'!$I$18:$I$47,$C11)</f>
        <v>0</v>
      </c>
      <c r="Q11" s="94">
        <f>COUNTIF('261013'!$C$18:$C$47,$C11)+COUNTIF('261013'!$I$18:$I$47,$C11)</f>
        <v>0</v>
      </c>
      <c r="R11" s="94">
        <f>COUNTIF('261014'!$C$18:$C$47,$C11)+COUNTIF('261014'!$I$18:$I$47,$C11)</f>
        <v>0</v>
      </c>
      <c r="S11" s="94">
        <f>COUNTIF('261015'!$C$18:$C$47,$C11)+COUNTIF('261015'!$I$18:$I$47,$C11)</f>
        <v>0</v>
      </c>
      <c r="T11" s="94">
        <f>COUNTIF('261016'!$C$18:$C$47,$C11)+COUNTIF('261016'!$I$18:$I$47,$C11)</f>
        <v>0</v>
      </c>
      <c r="U11" s="94">
        <f>COUNTIF('261017'!$C$18:$C$47,$C11)+COUNTIF('261017'!$I$18:$I$47,$C11)</f>
        <v>0</v>
      </c>
      <c r="V11" s="94">
        <f>COUNTIF('261018'!$C$18:$C$47,$C11)+COUNTIF('261018'!$I$18:$I$47,$C11)</f>
        <v>0</v>
      </c>
      <c r="W11" s="94">
        <f>COUNTIF('261019'!$C$18:$C$47,$C11)+COUNTIF('261019'!$I$18:$I$47,$C11)</f>
        <v>0</v>
      </c>
      <c r="X11" s="94">
        <f>COUNTIF('261020'!$C$18:$C$47,$C11)+COUNTIF('261020'!$I$18:$I$47,$C11)</f>
        <v>0</v>
      </c>
      <c r="Y11" s="94">
        <f>COUNTIF('261021'!$C$18:$C$47,$C11)+COUNTIF('261021'!$I$18:$I$47,$C11)</f>
        <v>0</v>
      </c>
      <c r="Z11" s="94">
        <f>COUNTIF('261022'!$C$18:$C$47,$C11)+COUNTIF('261022'!$I$18:$I$47,$C11)</f>
        <v>0</v>
      </c>
      <c r="AA11" s="94">
        <f>COUNTIF('261023'!$C$18:$C$47,$C11)+COUNTIF('261023'!$I$18:$I$47,$C11)</f>
        <v>0</v>
      </c>
      <c r="AB11" s="94">
        <f>COUNTIF('261024'!$C$18:$C$47,$C11)+COUNTIF('261024'!$I$18:$I$47,$C11)</f>
        <v>0</v>
      </c>
      <c r="AC11" s="94">
        <f>COUNTIF('261025'!$C$18:$C$47,$C11)+COUNTIF('261025'!$I$18:$I$47,$C11)</f>
        <v>0</v>
      </c>
      <c r="AD11" s="94">
        <f>COUNTIF('261026'!$C$18:$C$47,$C11)+COUNTIF('261026'!$I$18:$I$47,$C11)</f>
        <v>0</v>
      </c>
      <c r="AE11" s="94">
        <f>COUNTIF('261027'!$C$18:$C$47,$C11)+COUNTIF('261027'!$I$18:$I$47,$C11)</f>
        <v>0</v>
      </c>
      <c r="AF11" s="94">
        <f>COUNTIF('261028'!$C$18:$C$47,$C11)+COUNTIF('261028'!$I$18:$I$47,$C11)</f>
        <v>0</v>
      </c>
      <c r="AG11" s="94">
        <f>COUNTIF('261029'!$C$18:$C$47,$C11)+COUNTIF('261029'!$I$18:$I$47,$C11)</f>
        <v>0</v>
      </c>
      <c r="AH11" s="94">
        <f>COUNTIF('261030'!$C$18:$C$47,$C11)+COUNTIF('261030'!$I$18:$I$47,$C11)</f>
        <v>0</v>
      </c>
      <c r="AI11" s="94">
        <f>COUNTIF('261031'!$C$18:$C$47,$C11)+COUNTIF('261031'!$I$18:$I$47,$C11)</f>
        <v>0</v>
      </c>
      <c r="AJ11" s="110">
        <f t="shared" si="1"/>
        <v>0</v>
      </c>
    </row>
    <row r="12" spans="2:45" ht="20.100000000000001" customHeight="1" x14ac:dyDescent="0.3">
      <c r="B12" s="36">
        <f t="shared" si="2"/>
        <v>8</v>
      </c>
      <c r="C12" s="56"/>
      <c r="D12" s="56"/>
      <c r="E12" s="94">
        <f>COUNTIF('261001'!$C$18:$C$47,$C12)+COUNTIF('261001'!$I$18:$I$47,$C12)</f>
        <v>0</v>
      </c>
      <c r="F12" s="94">
        <f>COUNTIF('261002'!$C$18:$C$47,$C12)+COUNTIF('261002'!$I$18:$I$47,$C12)</f>
        <v>0</v>
      </c>
      <c r="G12" s="94">
        <f>COUNTIF('261003'!$C$18:$C$47,$C12)+COUNTIF('261003'!$I$18:$I$47,$C12)</f>
        <v>0</v>
      </c>
      <c r="H12" s="94">
        <f>COUNTIF('261004'!$C$18:$C$47,$C12)+COUNTIF('261004'!$I$18:$I$47,$C12)</f>
        <v>0</v>
      </c>
      <c r="I12" s="94">
        <f>COUNTIF('261005'!$C$18:$C$47,$C12)+COUNTIF('261005'!$I$18:$I$47,$C12)</f>
        <v>0</v>
      </c>
      <c r="J12" s="94">
        <f>COUNTIF('261006'!$C$18:$C$47,$C12)+COUNTIF('261006'!$I$18:$I$47,$C12)</f>
        <v>0</v>
      </c>
      <c r="K12" s="94">
        <f>COUNTIF('261007'!$C$18:$C$47,$C12)+COUNTIF('261007'!$I$18:$I$47,$C12)</f>
        <v>0</v>
      </c>
      <c r="L12" s="94">
        <f>COUNTIF('261008'!$C$18:$C$47,$C12)+COUNTIF('261008'!$I$18:$I$47,$C12)</f>
        <v>0</v>
      </c>
      <c r="M12" s="94">
        <f>COUNTIF('261009'!$C$18:$C$47,$C12)+COUNTIF('261009'!$I$18:$I$47,$C12)</f>
        <v>0</v>
      </c>
      <c r="N12" s="94">
        <f>COUNTIF('261010'!$C$18:$C$47,$C12)+COUNTIF('261010'!$I$18:$I$47,$C12)</f>
        <v>0</v>
      </c>
      <c r="O12" s="94">
        <f>COUNTIF('261011'!$C$18:$C$47,$C12)+COUNTIF('261011'!$I$18:$I$47,$C12)</f>
        <v>0</v>
      </c>
      <c r="P12" s="94">
        <f>COUNTIF('261012'!$C$18:$C$47,$C12)+COUNTIF('261012'!$I$18:$I$47,$C12)</f>
        <v>0</v>
      </c>
      <c r="Q12" s="94">
        <f>COUNTIF('261013'!$C$18:$C$47,$C12)+COUNTIF('261013'!$I$18:$I$47,$C12)</f>
        <v>0</v>
      </c>
      <c r="R12" s="94">
        <f>COUNTIF('261014'!$C$18:$C$47,$C12)+COUNTIF('261014'!$I$18:$I$47,$C12)</f>
        <v>0</v>
      </c>
      <c r="S12" s="94">
        <f>COUNTIF('261015'!$C$18:$C$47,$C12)+COUNTIF('261015'!$I$18:$I$47,$C12)</f>
        <v>0</v>
      </c>
      <c r="T12" s="94">
        <f>COUNTIF('261016'!$C$18:$C$47,$C12)+COUNTIF('261016'!$I$18:$I$47,$C12)</f>
        <v>0</v>
      </c>
      <c r="U12" s="94">
        <f>COUNTIF('261017'!$C$18:$C$47,$C12)+COUNTIF('261017'!$I$18:$I$47,$C12)</f>
        <v>0</v>
      </c>
      <c r="V12" s="94">
        <f>COUNTIF('261018'!$C$18:$C$47,$C12)+COUNTIF('261018'!$I$18:$I$47,$C12)</f>
        <v>0</v>
      </c>
      <c r="W12" s="94">
        <f>COUNTIF('261019'!$C$18:$C$47,$C12)+COUNTIF('261019'!$I$18:$I$47,$C12)</f>
        <v>0</v>
      </c>
      <c r="X12" s="94">
        <f>COUNTIF('261020'!$C$18:$C$47,$C12)+COUNTIF('261020'!$I$18:$I$47,$C12)</f>
        <v>0</v>
      </c>
      <c r="Y12" s="94">
        <f>COUNTIF('261021'!$C$18:$C$47,$C12)+COUNTIF('261021'!$I$18:$I$47,$C12)</f>
        <v>0</v>
      </c>
      <c r="Z12" s="94">
        <f>COUNTIF('261022'!$C$18:$C$47,$C12)+COUNTIF('261022'!$I$18:$I$47,$C12)</f>
        <v>0</v>
      </c>
      <c r="AA12" s="94">
        <f>COUNTIF('261023'!$C$18:$C$47,$C12)+COUNTIF('261023'!$I$18:$I$47,$C12)</f>
        <v>0</v>
      </c>
      <c r="AB12" s="94">
        <f>COUNTIF('261024'!$C$18:$C$47,$C12)+COUNTIF('261024'!$I$18:$I$47,$C12)</f>
        <v>0</v>
      </c>
      <c r="AC12" s="94">
        <f>COUNTIF('261025'!$C$18:$C$47,$C12)+COUNTIF('261025'!$I$18:$I$47,$C12)</f>
        <v>0</v>
      </c>
      <c r="AD12" s="94">
        <f>COUNTIF('261026'!$C$18:$C$47,$C12)+COUNTIF('261026'!$I$18:$I$47,$C12)</f>
        <v>0</v>
      </c>
      <c r="AE12" s="94">
        <f>COUNTIF('261027'!$C$18:$C$47,$C12)+COUNTIF('261027'!$I$18:$I$47,$C12)</f>
        <v>0</v>
      </c>
      <c r="AF12" s="94">
        <f>COUNTIF('261028'!$C$18:$C$47,$C12)+COUNTIF('261028'!$I$18:$I$47,$C12)</f>
        <v>0</v>
      </c>
      <c r="AG12" s="94">
        <f>COUNTIF('261029'!$C$18:$C$47,$C12)+COUNTIF('261029'!$I$18:$I$47,$C12)</f>
        <v>0</v>
      </c>
      <c r="AH12" s="94">
        <f>COUNTIF('261030'!$C$18:$C$47,$C12)+COUNTIF('261030'!$I$18:$I$47,$C12)</f>
        <v>0</v>
      </c>
      <c r="AI12" s="94">
        <f>COUNTIF('261031'!$C$18:$C$47,$C12)+COUNTIF('261031'!$I$18:$I$47,$C12)</f>
        <v>0</v>
      </c>
      <c r="AJ12" s="108">
        <f t="shared" si="1"/>
        <v>0</v>
      </c>
      <c r="AS12" s="55"/>
    </row>
    <row r="13" spans="2:45" ht="20.100000000000001" customHeight="1" x14ac:dyDescent="0.3">
      <c r="B13" s="36">
        <f t="shared" si="2"/>
        <v>9</v>
      </c>
      <c r="C13" s="56"/>
      <c r="D13" s="56"/>
      <c r="E13" s="94">
        <f>COUNTIF('261001'!$C$18:$C$47,$C13)+COUNTIF('261001'!$I$18:$I$47,$C13)</f>
        <v>0</v>
      </c>
      <c r="F13" s="94">
        <f>COUNTIF('261002'!$C$18:$C$47,$C13)+COUNTIF('261002'!$I$18:$I$47,$C13)</f>
        <v>0</v>
      </c>
      <c r="G13" s="94">
        <f>COUNTIF('261003'!$C$18:$C$47,$C13)+COUNTIF('261003'!$I$18:$I$47,$C13)</f>
        <v>0</v>
      </c>
      <c r="H13" s="94">
        <f>COUNTIF('261004'!$C$18:$C$47,$C13)+COUNTIF('261004'!$I$18:$I$47,$C13)</f>
        <v>0</v>
      </c>
      <c r="I13" s="94">
        <f>COUNTIF('261005'!$C$18:$C$47,$C13)+COUNTIF('261005'!$I$18:$I$47,$C13)</f>
        <v>0</v>
      </c>
      <c r="J13" s="94">
        <f>COUNTIF('261006'!$C$18:$C$47,$C13)+COUNTIF('261006'!$I$18:$I$47,$C13)</f>
        <v>0</v>
      </c>
      <c r="K13" s="94">
        <f>COUNTIF('261007'!$C$18:$C$47,$C13)+COUNTIF('261007'!$I$18:$I$47,$C13)</f>
        <v>0</v>
      </c>
      <c r="L13" s="94">
        <f>COUNTIF('261008'!$C$18:$C$47,$C13)+COUNTIF('261008'!$I$18:$I$47,$C13)</f>
        <v>0</v>
      </c>
      <c r="M13" s="94">
        <f>COUNTIF('261009'!$C$18:$C$47,$C13)+COUNTIF('261009'!$I$18:$I$47,$C13)</f>
        <v>0</v>
      </c>
      <c r="N13" s="94">
        <f>COUNTIF('261010'!$C$18:$C$47,$C13)+COUNTIF('261010'!$I$18:$I$47,$C13)</f>
        <v>0</v>
      </c>
      <c r="O13" s="94">
        <f>COUNTIF('261011'!$C$18:$C$47,$C13)+COUNTIF('261011'!$I$18:$I$47,$C13)</f>
        <v>0</v>
      </c>
      <c r="P13" s="94">
        <f>COUNTIF('261012'!$C$18:$C$47,$C13)+COUNTIF('261012'!$I$18:$I$47,$C13)</f>
        <v>0</v>
      </c>
      <c r="Q13" s="94">
        <f>COUNTIF('261013'!$C$18:$C$47,$C13)+COUNTIF('261013'!$I$18:$I$47,$C13)</f>
        <v>0</v>
      </c>
      <c r="R13" s="94">
        <f>COUNTIF('261014'!$C$18:$C$47,$C13)+COUNTIF('261014'!$I$18:$I$47,$C13)</f>
        <v>0</v>
      </c>
      <c r="S13" s="94">
        <f>COUNTIF('261015'!$C$18:$C$47,$C13)+COUNTIF('261015'!$I$18:$I$47,$C13)</f>
        <v>0</v>
      </c>
      <c r="T13" s="94">
        <f>COUNTIF('261016'!$C$18:$C$47,$C13)+COUNTIF('261016'!$I$18:$I$47,$C13)</f>
        <v>0</v>
      </c>
      <c r="U13" s="94">
        <f>COUNTIF('261017'!$C$18:$C$47,$C13)+COUNTIF('261017'!$I$18:$I$47,$C13)</f>
        <v>0</v>
      </c>
      <c r="V13" s="94">
        <f>COUNTIF('261018'!$C$18:$C$47,$C13)+COUNTIF('261018'!$I$18:$I$47,$C13)</f>
        <v>0</v>
      </c>
      <c r="W13" s="94">
        <f>COUNTIF('261019'!$C$18:$C$47,$C13)+COUNTIF('261019'!$I$18:$I$47,$C13)</f>
        <v>0</v>
      </c>
      <c r="X13" s="94">
        <f>COUNTIF('261020'!$C$18:$C$47,$C13)+COUNTIF('261020'!$I$18:$I$47,$C13)</f>
        <v>0</v>
      </c>
      <c r="Y13" s="94">
        <f>COUNTIF('261021'!$C$18:$C$47,$C13)+COUNTIF('261021'!$I$18:$I$47,$C13)</f>
        <v>0</v>
      </c>
      <c r="Z13" s="94">
        <f>COUNTIF('261022'!$C$18:$C$47,$C13)+COUNTIF('261022'!$I$18:$I$47,$C13)</f>
        <v>0</v>
      </c>
      <c r="AA13" s="94">
        <f>COUNTIF('261023'!$C$18:$C$47,$C13)+COUNTIF('261023'!$I$18:$I$47,$C13)</f>
        <v>0</v>
      </c>
      <c r="AB13" s="94">
        <f>COUNTIF('261024'!$C$18:$C$47,$C13)+COUNTIF('261024'!$I$18:$I$47,$C13)</f>
        <v>0</v>
      </c>
      <c r="AC13" s="94">
        <f>COUNTIF('261025'!$C$18:$C$47,$C13)+COUNTIF('261025'!$I$18:$I$47,$C13)</f>
        <v>0</v>
      </c>
      <c r="AD13" s="94">
        <f>COUNTIF('261026'!$C$18:$C$47,$C13)+COUNTIF('261026'!$I$18:$I$47,$C13)</f>
        <v>0</v>
      </c>
      <c r="AE13" s="94">
        <f>COUNTIF('261027'!$C$18:$C$47,$C13)+COUNTIF('261027'!$I$18:$I$47,$C13)</f>
        <v>0</v>
      </c>
      <c r="AF13" s="94">
        <f>COUNTIF('261028'!$C$18:$C$47,$C13)+COUNTIF('261028'!$I$18:$I$47,$C13)</f>
        <v>0</v>
      </c>
      <c r="AG13" s="94">
        <f>COUNTIF('261029'!$C$18:$C$47,$C13)+COUNTIF('261029'!$I$18:$I$47,$C13)</f>
        <v>0</v>
      </c>
      <c r="AH13" s="94">
        <f>COUNTIF('261030'!$C$18:$C$47,$C13)+COUNTIF('261030'!$I$18:$I$47,$C13)</f>
        <v>0</v>
      </c>
      <c r="AI13" s="94">
        <f>COUNTIF('261031'!$C$18:$C$47,$C13)+COUNTIF('261031'!$I$18:$I$47,$C13)</f>
        <v>0</v>
      </c>
      <c r="AJ13" s="108">
        <f t="shared" si="1"/>
        <v>0</v>
      </c>
    </row>
    <row r="14" spans="2:45" ht="20.100000000000001" customHeight="1" x14ac:dyDescent="0.3">
      <c r="B14" s="36">
        <f t="shared" si="2"/>
        <v>10</v>
      </c>
      <c r="C14" s="56"/>
      <c r="D14" s="56"/>
      <c r="E14" s="94">
        <f>COUNTIF('261001'!$C$18:$C$47,$C14)+COUNTIF('261001'!$I$18:$I$47,$C14)</f>
        <v>0</v>
      </c>
      <c r="F14" s="94">
        <f>COUNTIF('261002'!$C$18:$C$47,$C14)+COUNTIF('261002'!$I$18:$I$47,$C14)</f>
        <v>0</v>
      </c>
      <c r="G14" s="94">
        <f>COUNTIF('261003'!$C$18:$C$47,$C14)+COUNTIF('261003'!$I$18:$I$47,$C14)</f>
        <v>0</v>
      </c>
      <c r="H14" s="94">
        <f>COUNTIF('261004'!$C$18:$C$47,$C14)+COUNTIF('261004'!$I$18:$I$47,$C14)</f>
        <v>0</v>
      </c>
      <c r="I14" s="94">
        <f>COUNTIF('261005'!$C$18:$C$47,$C14)+COUNTIF('261005'!$I$18:$I$47,$C14)</f>
        <v>0</v>
      </c>
      <c r="J14" s="94">
        <f>COUNTIF('261006'!$C$18:$C$47,$C14)+COUNTIF('261006'!$I$18:$I$47,$C14)</f>
        <v>0</v>
      </c>
      <c r="K14" s="94">
        <f>COUNTIF('261007'!$C$18:$C$47,$C14)+COUNTIF('261007'!$I$18:$I$47,$C14)</f>
        <v>0</v>
      </c>
      <c r="L14" s="94">
        <f>COUNTIF('261008'!$C$18:$C$47,$C14)+COUNTIF('261008'!$I$18:$I$47,$C14)</f>
        <v>0</v>
      </c>
      <c r="M14" s="94">
        <f>COUNTIF('261009'!$C$18:$C$47,$C14)+COUNTIF('261009'!$I$18:$I$47,$C14)</f>
        <v>0</v>
      </c>
      <c r="N14" s="94">
        <f>COUNTIF('261010'!$C$18:$C$47,$C14)+COUNTIF('261010'!$I$18:$I$47,$C14)</f>
        <v>0</v>
      </c>
      <c r="O14" s="94">
        <f>COUNTIF('261011'!$C$18:$C$47,$C14)+COUNTIF('261011'!$I$18:$I$47,$C14)</f>
        <v>0</v>
      </c>
      <c r="P14" s="94">
        <f>COUNTIF('261012'!$C$18:$C$47,$C14)+COUNTIF('261012'!$I$18:$I$47,$C14)</f>
        <v>0</v>
      </c>
      <c r="Q14" s="94">
        <f>COUNTIF('261013'!$C$18:$C$47,$C14)+COUNTIF('261013'!$I$18:$I$47,$C14)</f>
        <v>0</v>
      </c>
      <c r="R14" s="94">
        <f>COUNTIF('261014'!$C$18:$C$47,$C14)+COUNTIF('261014'!$I$18:$I$47,$C14)</f>
        <v>0</v>
      </c>
      <c r="S14" s="94">
        <f>COUNTIF('261015'!$C$18:$C$47,$C14)+COUNTIF('261015'!$I$18:$I$47,$C14)</f>
        <v>0</v>
      </c>
      <c r="T14" s="94">
        <f>COUNTIF('261016'!$C$18:$C$47,$C14)+COUNTIF('261016'!$I$18:$I$47,$C14)</f>
        <v>0</v>
      </c>
      <c r="U14" s="94">
        <f>COUNTIF('261017'!$C$18:$C$47,$C14)+COUNTIF('261017'!$I$18:$I$47,$C14)</f>
        <v>0</v>
      </c>
      <c r="V14" s="94">
        <f>COUNTIF('261018'!$C$18:$C$47,$C14)+COUNTIF('261018'!$I$18:$I$47,$C14)</f>
        <v>0</v>
      </c>
      <c r="W14" s="94">
        <f>COUNTIF('261019'!$C$18:$C$47,$C14)+COUNTIF('261019'!$I$18:$I$47,$C14)</f>
        <v>0</v>
      </c>
      <c r="X14" s="94">
        <f>COUNTIF('261020'!$C$18:$C$47,$C14)+COUNTIF('261020'!$I$18:$I$47,$C14)</f>
        <v>0</v>
      </c>
      <c r="Y14" s="94">
        <f>COUNTIF('261021'!$C$18:$C$47,$C14)+COUNTIF('261021'!$I$18:$I$47,$C14)</f>
        <v>0</v>
      </c>
      <c r="Z14" s="94">
        <f>COUNTIF('261022'!$C$18:$C$47,$C14)+COUNTIF('261022'!$I$18:$I$47,$C14)</f>
        <v>0</v>
      </c>
      <c r="AA14" s="94">
        <f>COUNTIF('261023'!$C$18:$C$47,$C14)+COUNTIF('261023'!$I$18:$I$47,$C14)</f>
        <v>0</v>
      </c>
      <c r="AB14" s="94">
        <f>COUNTIF('261024'!$C$18:$C$47,$C14)+COUNTIF('261024'!$I$18:$I$47,$C14)</f>
        <v>0</v>
      </c>
      <c r="AC14" s="94">
        <f>COUNTIF('261025'!$C$18:$C$47,$C14)+COUNTIF('261025'!$I$18:$I$47,$C14)</f>
        <v>0</v>
      </c>
      <c r="AD14" s="94">
        <f>COUNTIF('261026'!$C$18:$C$47,$C14)+COUNTIF('261026'!$I$18:$I$47,$C14)</f>
        <v>0</v>
      </c>
      <c r="AE14" s="94">
        <f>COUNTIF('261027'!$C$18:$C$47,$C14)+COUNTIF('261027'!$I$18:$I$47,$C14)</f>
        <v>0</v>
      </c>
      <c r="AF14" s="94">
        <f>COUNTIF('261028'!$C$18:$C$47,$C14)+COUNTIF('261028'!$I$18:$I$47,$C14)</f>
        <v>0</v>
      </c>
      <c r="AG14" s="94">
        <f>COUNTIF('261029'!$C$18:$C$47,$C14)+COUNTIF('261029'!$I$18:$I$47,$C14)</f>
        <v>0</v>
      </c>
      <c r="AH14" s="94">
        <f>COUNTIF('261030'!$C$18:$C$47,$C14)+COUNTIF('261030'!$I$18:$I$47,$C14)</f>
        <v>0</v>
      </c>
      <c r="AI14" s="94">
        <f>COUNTIF('261031'!$C$18:$C$47,$C14)+COUNTIF('261031'!$I$18:$I$47,$C14)</f>
        <v>0</v>
      </c>
      <c r="AJ14" s="108">
        <f t="shared" si="1"/>
        <v>0</v>
      </c>
      <c r="AL14" s="16"/>
      <c r="AM14" s="16"/>
    </row>
    <row r="15" spans="2:45" ht="20.100000000000001" customHeight="1" x14ac:dyDescent="0.3">
      <c r="B15" s="36">
        <f t="shared" si="2"/>
        <v>11</v>
      </c>
      <c r="C15" s="56"/>
      <c r="D15" s="56"/>
      <c r="E15" s="94">
        <f>COUNTIF('261001'!$C$18:$C$47,$C15)+COUNTIF('261001'!$I$18:$I$47,$C15)</f>
        <v>0</v>
      </c>
      <c r="F15" s="94">
        <f>COUNTIF('261002'!$C$18:$C$47,$C15)+COUNTIF('261002'!$I$18:$I$47,$C15)</f>
        <v>0</v>
      </c>
      <c r="G15" s="94">
        <f>COUNTIF('261003'!$C$18:$C$47,$C15)+COUNTIF('261003'!$I$18:$I$47,$C15)</f>
        <v>0</v>
      </c>
      <c r="H15" s="94">
        <f>COUNTIF('261004'!$C$18:$C$47,$C15)+COUNTIF('261004'!$I$18:$I$47,$C15)</f>
        <v>0</v>
      </c>
      <c r="I15" s="94">
        <f>COUNTIF('261005'!$C$18:$C$47,$C15)+COUNTIF('261005'!$I$18:$I$47,$C15)</f>
        <v>0</v>
      </c>
      <c r="J15" s="94">
        <f>COUNTIF('261006'!$C$18:$C$47,$C15)+COUNTIF('261006'!$I$18:$I$47,$C15)</f>
        <v>0</v>
      </c>
      <c r="K15" s="94">
        <f>COUNTIF('261007'!$C$18:$C$47,$C15)+COUNTIF('261007'!$I$18:$I$47,$C15)</f>
        <v>0</v>
      </c>
      <c r="L15" s="94">
        <f>COUNTIF('261008'!$C$18:$C$47,$C15)+COUNTIF('261008'!$I$18:$I$47,$C15)</f>
        <v>0</v>
      </c>
      <c r="M15" s="94">
        <f>COUNTIF('261009'!$C$18:$C$47,$C15)+COUNTIF('261009'!$I$18:$I$47,$C15)</f>
        <v>0</v>
      </c>
      <c r="N15" s="94">
        <f>COUNTIF('261010'!$C$18:$C$47,$C15)+COUNTIF('261010'!$I$18:$I$47,$C15)</f>
        <v>0</v>
      </c>
      <c r="O15" s="94">
        <f>COUNTIF('261011'!$C$18:$C$47,$C15)+COUNTIF('261011'!$I$18:$I$47,$C15)</f>
        <v>0</v>
      </c>
      <c r="P15" s="94">
        <f>COUNTIF('261012'!$C$18:$C$47,$C15)+COUNTIF('261012'!$I$18:$I$47,$C15)</f>
        <v>0</v>
      </c>
      <c r="Q15" s="94">
        <f>COUNTIF('261013'!$C$18:$C$47,$C15)+COUNTIF('261013'!$I$18:$I$47,$C15)</f>
        <v>0</v>
      </c>
      <c r="R15" s="94">
        <f>COUNTIF('261014'!$C$18:$C$47,$C15)+COUNTIF('261014'!$I$18:$I$47,$C15)</f>
        <v>0</v>
      </c>
      <c r="S15" s="94">
        <f>COUNTIF('261015'!$C$18:$C$47,$C15)+COUNTIF('261015'!$I$18:$I$47,$C15)</f>
        <v>0</v>
      </c>
      <c r="T15" s="94">
        <f>COUNTIF('261016'!$C$18:$C$47,$C15)+COUNTIF('261016'!$I$18:$I$47,$C15)</f>
        <v>0</v>
      </c>
      <c r="U15" s="94">
        <f>COUNTIF('261017'!$C$18:$C$47,$C15)+COUNTIF('261017'!$I$18:$I$47,$C15)</f>
        <v>0</v>
      </c>
      <c r="V15" s="94">
        <f>COUNTIF('261018'!$C$18:$C$47,$C15)+COUNTIF('261018'!$I$18:$I$47,$C15)</f>
        <v>0</v>
      </c>
      <c r="W15" s="94">
        <f>COUNTIF('261019'!$C$18:$C$47,$C15)+COUNTIF('261019'!$I$18:$I$47,$C15)</f>
        <v>0</v>
      </c>
      <c r="X15" s="94">
        <f>COUNTIF('261020'!$C$18:$C$47,$C15)+COUNTIF('261020'!$I$18:$I$47,$C15)</f>
        <v>0</v>
      </c>
      <c r="Y15" s="94">
        <f>COUNTIF('261021'!$C$18:$C$47,$C15)+COUNTIF('261021'!$I$18:$I$47,$C15)</f>
        <v>0</v>
      </c>
      <c r="Z15" s="94">
        <f>COUNTIF('261022'!$C$18:$C$47,$C15)+COUNTIF('261022'!$I$18:$I$47,$C15)</f>
        <v>0</v>
      </c>
      <c r="AA15" s="94">
        <f>COUNTIF('261023'!$C$18:$C$47,$C15)+COUNTIF('261023'!$I$18:$I$47,$C15)</f>
        <v>0</v>
      </c>
      <c r="AB15" s="94">
        <f>COUNTIF('261024'!$C$18:$C$47,$C15)+COUNTIF('261024'!$I$18:$I$47,$C15)</f>
        <v>0</v>
      </c>
      <c r="AC15" s="94">
        <f>COUNTIF('261025'!$C$18:$C$47,$C15)+COUNTIF('261025'!$I$18:$I$47,$C15)</f>
        <v>0</v>
      </c>
      <c r="AD15" s="94">
        <f>COUNTIF('261026'!$C$18:$C$47,$C15)+COUNTIF('261026'!$I$18:$I$47,$C15)</f>
        <v>0</v>
      </c>
      <c r="AE15" s="94">
        <f>COUNTIF('261027'!$C$18:$C$47,$C15)+COUNTIF('261027'!$I$18:$I$47,$C15)</f>
        <v>0</v>
      </c>
      <c r="AF15" s="94">
        <f>COUNTIF('261028'!$C$18:$C$47,$C15)+COUNTIF('261028'!$I$18:$I$47,$C15)</f>
        <v>0</v>
      </c>
      <c r="AG15" s="94">
        <f>COUNTIF('261029'!$C$18:$C$47,$C15)+COUNTIF('261029'!$I$18:$I$47,$C15)</f>
        <v>0</v>
      </c>
      <c r="AH15" s="94">
        <f>COUNTIF('261030'!$C$18:$C$47,$C15)+COUNTIF('261030'!$I$18:$I$47,$C15)</f>
        <v>0</v>
      </c>
      <c r="AI15" s="94">
        <f>COUNTIF('261031'!$C$18:$C$47,$C15)+COUNTIF('261031'!$I$18:$I$47,$C15)</f>
        <v>0</v>
      </c>
      <c r="AJ15" s="108">
        <f t="shared" si="1"/>
        <v>0</v>
      </c>
      <c r="AL15" s="16"/>
      <c r="AM15" s="16"/>
    </row>
    <row r="16" spans="2:45" ht="20.100000000000001" customHeight="1" x14ac:dyDescent="0.3">
      <c r="B16" s="36">
        <f t="shared" si="2"/>
        <v>12</v>
      </c>
      <c r="C16" s="56"/>
      <c r="D16" s="56"/>
      <c r="E16" s="94">
        <f>COUNTIF('261001'!$C$18:$C$47,$C16)+COUNTIF('261001'!$I$18:$I$47,$C16)</f>
        <v>0</v>
      </c>
      <c r="F16" s="94">
        <f>COUNTIF('261002'!$C$18:$C$47,$C16)+COUNTIF('261002'!$I$18:$I$47,$C16)</f>
        <v>0</v>
      </c>
      <c r="G16" s="94">
        <f>COUNTIF('261003'!$C$18:$C$47,$C16)+COUNTIF('261003'!$I$18:$I$47,$C16)</f>
        <v>0</v>
      </c>
      <c r="H16" s="94">
        <f>COUNTIF('261004'!$C$18:$C$47,$C16)+COUNTIF('261004'!$I$18:$I$47,$C16)</f>
        <v>0</v>
      </c>
      <c r="I16" s="94">
        <f>COUNTIF('261005'!$C$18:$C$47,$C16)+COUNTIF('261005'!$I$18:$I$47,$C16)</f>
        <v>0</v>
      </c>
      <c r="J16" s="94">
        <f>COUNTIF('261006'!$C$18:$C$47,$C16)+COUNTIF('261006'!$I$18:$I$47,$C16)</f>
        <v>0</v>
      </c>
      <c r="K16" s="94">
        <f>COUNTIF('261007'!$C$18:$C$47,$C16)+COUNTIF('261007'!$I$18:$I$47,$C16)</f>
        <v>0</v>
      </c>
      <c r="L16" s="94">
        <f>COUNTIF('261008'!$C$18:$C$47,$C16)+COUNTIF('261008'!$I$18:$I$47,$C16)</f>
        <v>0</v>
      </c>
      <c r="M16" s="94">
        <f>COUNTIF('261009'!$C$18:$C$47,$C16)+COUNTIF('261009'!$I$18:$I$47,$C16)</f>
        <v>0</v>
      </c>
      <c r="N16" s="94">
        <f>COUNTIF('261010'!$C$18:$C$47,$C16)+COUNTIF('261010'!$I$18:$I$47,$C16)</f>
        <v>0</v>
      </c>
      <c r="O16" s="94">
        <f>COUNTIF('261011'!$C$18:$C$47,$C16)+COUNTIF('261011'!$I$18:$I$47,$C16)</f>
        <v>0</v>
      </c>
      <c r="P16" s="94">
        <f>COUNTIF('261012'!$C$18:$C$47,$C16)+COUNTIF('261012'!$I$18:$I$47,$C16)</f>
        <v>0</v>
      </c>
      <c r="Q16" s="94">
        <f>COUNTIF('261013'!$C$18:$C$47,$C16)+COUNTIF('261013'!$I$18:$I$47,$C16)</f>
        <v>0</v>
      </c>
      <c r="R16" s="94">
        <f>COUNTIF('261014'!$C$18:$C$47,$C16)+COUNTIF('261014'!$I$18:$I$47,$C16)</f>
        <v>0</v>
      </c>
      <c r="S16" s="94">
        <f>COUNTIF('261015'!$C$18:$C$47,$C16)+COUNTIF('261015'!$I$18:$I$47,$C16)</f>
        <v>0</v>
      </c>
      <c r="T16" s="94">
        <f>COUNTIF('261016'!$C$18:$C$47,$C16)+COUNTIF('261016'!$I$18:$I$47,$C16)</f>
        <v>0</v>
      </c>
      <c r="U16" s="94">
        <f>COUNTIF('261017'!$C$18:$C$47,$C16)+COUNTIF('261017'!$I$18:$I$47,$C16)</f>
        <v>0</v>
      </c>
      <c r="V16" s="94">
        <f>COUNTIF('261018'!$C$18:$C$47,$C16)+COUNTIF('261018'!$I$18:$I$47,$C16)</f>
        <v>0</v>
      </c>
      <c r="W16" s="94">
        <f>COUNTIF('261019'!$C$18:$C$47,$C16)+COUNTIF('261019'!$I$18:$I$47,$C16)</f>
        <v>0</v>
      </c>
      <c r="X16" s="94">
        <f>COUNTIF('261020'!$C$18:$C$47,$C16)+COUNTIF('261020'!$I$18:$I$47,$C16)</f>
        <v>0</v>
      </c>
      <c r="Y16" s="94">
        <f>COUNTIF('261021'!$C$18:$C$47,$C16)+COUNTIF('261021'!$I$18:$I$47,$C16)</f>
        <v>0</v>
      </c>
      <c r="Z16" s="94">
        <f>COUNTIF('261022'!$C$18:$C$47,$C16)+COUNTIF('261022'!$I$18:$I$47,$C16)</f>
        <v>0</v>
      </c>
      <c r="AA16" s="94">
        <f>COUNTIF('261023'!$C$18:$C$47,$C16)+COUNTIF('261023'!$I$18:$I$47,$C16)</f>
        <v>0</v>
      </c>
      <c r="AB16" s="94">
        <f>COUNTIF('261024'!$C$18:$C$47,$C16)+COUNTIF('261024'!$I$18:$I$47,$C16)</f>
        <v>0</v>
      </c>
      <c r="AC16" s="94">
        <f>COUNTIF('261025'!$C$18:$C$47,$C16)+COUNTIF('261025'!$I$18:$I$47,$C16)</f>
        <v>0</v>
      </c>
      <c r="AD16" s="94">
        <f>COUNTIF('261026'!$C$18:$C$47,$C16)+COUNTIF('261026'!$I$18:$I$47,$C16)</f>
        <v>0</v>
      </c>
      <c r="AE16" s="94">
        <f>COUNTIF('261027'!$C$18:$C$47,$C16)+COUNTIF('261027'!$I$18:$I$47,$C16)</f>
        <v>0</v>
      </c>
      <c r="AF16" s="94">
        <f>COUNTIF('261028'!$C$18:$C$47,$C16)+COUNTIF('261028'!$I$18:$I$47,$C16)</f>
        <v>0</v>
      </c>
      <c r="AG16" s="94">
        <f>COUNTIF('261029'!$C$18:$C$47,$C16)+COUNTIF('261029'!$I$18:$I$47,$C16)</f>
        <v>0</v>
      </c>
      <c r="AH16" s="94">
        <f>COUNTIF('261030'!$C$18:$C$47,$C16)+COUNTIF('261030'!$I$18:$I$47,$C16)</f>
        <v>0</v>
      </c>
      <c r="AI16" s="94">
        <f>COUNTIF('261031'!$C$18:$C$47,$C16)+COUNTIF('261031'!$I$18:$I$47,$C16)</f>
        <v>0</v>
      </c>
      <c r="AJ16" s="108">
        <f t="shared" si="1"/>
        <v>0</v>
      </c>
      <c r="AL16" s="16"/>
      <c r="AM16" s="16"/>
    </row>
    <row r="17" spans="2:39" ht="20.100000000000001" customHeight="1" x14ac:dyDescent="0.3">
      <c r="B17" s="36">
        <f t="shared" si="2"/>
        <v>13</v>
      </c>
      <c r="C17" s="56"/>
      <c r="D17" s="56"/>
      <c r="E17" s="94">
        <f>COUNTIF('261001'!$C$18:$C$47,$C17)+COUNTIF('261001'!$I$18:$I$47,$C17)</f>
        <v>0</v>
      </c>
      <c r="F17" s="94">
        <f>COUNTIF('261002'!$C$18:$C$47,$C17)+COUNTIF('261002'!$I$18:$I$47,$C17)</f>
        <v>0</v>
      </c>
      <c r="G17" s="94">
        <f>COUNTIF('261003'!$C$18:$C$47,$C17)+COUNTIF('261003'!$I$18:$I$47,$C17)</f>
        <v>0</v>
      </c>
      <c r="H17" s="94">
        <f>COUNTIF('261004'!$C$18:$C$47,$C17)+COUNTIF('261004'!$I$18:$I$47,$C17)</f>
        <v>0</v>
      </c>
      <c r="I17" s="94">
        <f>COUNTIF('261005'!$C$18:$C$47,$C17)+COUNTIF('261005'!$I$18:$I$47,$C17)</f>
        <v>0</v>
      </c>
      <c r="J17" s="94">
        <f>COUNTIF('261006'!$C$18:$C$47,$C17)+COUNTIF('261006'!$I$18:$I$47,$C17)</f>
        <v>0</v>
      </c>
      <c r="K17" s="94">
        <f>COUNTIF('261007'!$C$18:$C$47,$C17)+COUNTIF('261007'!$I$18:$I$47,$C17)</f>
        <v>0</v>
      </c>
      <c r="L17" s="94">
        <f>COUNTIF('261008'!$C$18:$C$47,$C17)+COUNTIF('261008'!$I$18:$I$47,$C17)</f>
        <v>0</v>
      </c>
      <c r="M17" s="94">
        <f>COUNTIF('261009'!$C$18:$C$47,$C17)+COUNTIF('261009'!$I$18:$I$47,$C17)</f>
        <v>0</v>
      </c>
      <c r="N17" s="94">
        <f>COUNTIF('261010'!$C$18:$C$47,$C17)+COUNTIF('261010'!$I$18:$I$47,$C17)</f>
        <v>0</v>
      </c>
      <c r="O17" s="94">
        <f>COUNTIF('261011'!$C$18:$C$47,$C17)+COUNTIF('261011'!$I$18:$I$47,$C17)</f>
        <v>0</v>
      </c>
      <c r="P17" s="94">
        <f>COUNTIF('261012'!$C$18:$C$47,$C17)+COUNTIF('261012'!$I$18:$I$47,$C17)</f>
        <v>0</v>
      </c>
      <c r="Q17" s="94">
        <f>COUNTIF('261013'!$C$18:$C$47,$C17)+COUNTIF('261013'!$I$18:$I$47,$C17)</f>
        <v>0</v>
      </c>
      <c r="R17" s="94">
        <f>COUNTIF('261014'!$C$18:$C$47,$C17)+COUNTIF('261014'!$I$18:$I$47,$C17)</f>
        <v>0</v>
      </c>
      <c r="S17" s="94">
        <f>COUNTIF('261015'!$C$18:$C$47,$C17)+COUNTIF('261015'!$I$18:$I$47,$C17)</f>
        <v>0</v>
      </c>
      <c r="T17" s="94">
        <f>COUNTIF('261016'!$C$18:$C$47,$C17)+COUNTIF('261016'!$I$18:$I$47,$C17)</f>
        <v>0</v>
      </c>
      <c r="U17" s="94">
        <f>COUNTIF('261017'!$C$18:$C$47,$C17)+COUNTIF('261017'!$I$18:$I$47,$C17)</f>
        <v>0</v>
      </c>
      <c r="V17" s="94">
        <f>COUNTIF('261018'!$C$18:$C$47,$C17)+COUNTIF('261018'!$I$18:$I$47,$C17)</f>
        <v>0</v>
      </c>
      <c r="W17" s="94">
        <f>COUNTIF('261019'!$C$18:$C$47,$C17)+COUNTIF('261019'!$I$18:$I$47,$C17)</f>
        <v>0</v>
      </c>
      <c r="X17" s="94">
        <f>COUNTIF('261020'!$C$18:$C$47,$C17)+COUNTIF('261020'!$I$18:$I$47,$C17)</f>
        <v>0</v>
      </c>
      <c r="Y17" s="94">
        <f>COUNTIF('261021'!$C$18:$C$47,$C17)+COUNTIF('261021'!$I$18:$I$47,$C17)</f>
        <v>0</v>
      </c>
      <c r="Z17" s="94">
        <f>COUNTIF('261022'!$C$18:$C$47,$C17)+COUNTIF('261022'!$I$18:$I$47,$C17)</f>
        <v>0</v>
      </c>
      <c r="AA17" s="94">
        <f>COUNTIF('261023'!$C$18:$C$47,$C17)+COUNTIF('261023'!$I$18:$I$47,$C17)</f>
        <v>0</v>
      </c>
      <c r="AB17" s="94">
        <f>COUNTIF('261024'!$C$18:$C$47,$C17)+COUNTIF('261024'!$I$18:$I$47,$C17)</f>
        <v>0</v>
      </c>
      <c r="AC17" s="94">
        <f>COUNTIF('261025'!$C$18:$C$47,$C17)+COUNTIF('261025'!$I$18:$I$47,$C17)</f>
        <v>0</v>
      </c>
      <c r="AD17" s="94">
        <f>COUNTIF('261026'!$C$18:$C$47,$C17)+COUNTIF('261026'!$I$18:$I$47,$C17)</f>
        <v>0</v>
      </c>
      <c r="AE17" s="94">
        <f>COUNTIF('261027'!$C$18:$C$47,$C17)+COUNTIF('261027'!$I$18:$I$47,$C17)</f>
        <v>0</v>
      </c>
      <c r="AF17" s="94">
        <f>COUNTIF('261028'!$C$18:$C$47,$C17)+COUNTIF('261028'!$I$18:$I$47,$C17)</f>
        <v>0</v>
      </c>
      <c r="AG17" s="94">
        <f>COUNTIF('261029'!$C$18:$C$47,$C17)+COUNTIF('261029'!$I$18:$I$47,$C17)</f>
        <v>0</v>
      </c>
      <c r="AH17" s="94">
        <f>COUNTIF('261030'!$C$18:$C$47,$C17)+COUNTIF('261030'!$I$18:$I$47,$C17)</f>
        <v>0</v>
      </c>
      <c r="AI17" s="94">
        <f>COUNTIF('261031'!$C$18:$C$47,$C17)+COUNTIF('261031'!$I$18:$I$47,$C17)</f>
        <v>0</v>
      </c>
      <c r="AJ17" s="108">
        <f t="shared" si="1"/>
        <v>0</v>
      </c>
      <c r="AL17" s="53"/>
      <c r="AM17" s="16"/>
    </row>
    <row r="18" spans="2:39" ht="20.100000000000001" customHeight="1" x14ac:dyDescent="0.3">
      <c r="B18" s="36">
        <f t="shared" si="2"/>
        <v>14</v>
      </c>
      <c r="C18" s="56"/>
      <c r="D18" s="56"/>
      <c r="E18" s="94">
        <f>COUNTIF('261001'!$C$18:$C$47,$C18)+COUNTIF('261001'!$I$18:$I$47,$C18)</f>
        <v>0</v>
      </c>
      <c r="F18" s="94">
        <f>COUNTIF('261002'!$C$18:$C$47,$C18)+COUNTIF('261002'!$I$18:$I$47,$C18)</f>
        <v>0</v>
      </c>
      <c r="G18" s="94">
        <f>COUNTIF('261003'!$C$18:$C$47,$C18)+COUNTIF('261003'!$I$18:$I$47,$C18)</f>
        <v>0</v>
      </c>
      <c r="H18" s="94">
        <f>COUNTIF('261004'!$C$18:$C$47,$C18)+COUNTIF('261004'!$I$18:$I$47,$C18)</f>
        <v>0</v>
      </c>
      <c r="I18" s="94">
        <f>COUNTIF('261005'!$C$18:$C$47,$C18)+COUNTIF('261005'!$I$18:$I$47,$C18)</f>
        <v>0</v>
      </c>
      <c r="J18" s="94">
        <f>COUNTIF('261006'!$C$18:$C$47,$C18)+COUNTIF('261006'!$I$18:$I$47,$C18)</f>
        <v>0</v>
      </c>
      <c r="K18" s="94">
        <f>COUNTIF('261007'!$C$18:$C$47,$C18)+COUNTIF('261007'!$I$18:$I$47,$C18)</f>
        <v>0</v>
      </c>
      <c r="L18" s="94">
        <f>COUNTIF('261008'!$C$18:$C$47,$C18)+COUNTIF('261008'!$I$18:$I$47,$C18)</f>
        <v>0</v>
      </c>
      <c r="M18" s="94">
        <f>COUNTIF('261009'!$C$18:$C$47,$C18)+COUNTIF('261009'!$I$18:$I$47,$C18)</f>
        <v>0</v>
      </c>
      <c r="N18" s="94">
        <f>COUNTIF('261010'!$C$18:$C$47,$C18)+COUNTIF('261010'!$I$18:$I$47,$C18)</f>
        <v>0</v>
      </c>
      <c r="O18" s="94">
        <f>COUNTIF('261011'!$C$18:$C$47,$C18)+COUNTIF('261011'!$I$18:$I$47,$C18)</f>
        <v>0</v>
      </c>
      <c r="P18" s="94">
        <f>COUNTIF('261012'!$C$18:$C$47,$C18)+COUNTIF('261012'!$I$18:$I$47,$C18)</f>
        <v>0</v>
      </c>
      <c r="Q18" s="94">
        <f>COUNTIF('261013'!$C$18:$C$47,$C18)+COUNTIF('261013'!$I$18:$I$47,$C18)</f>
        <v>0</v>
      </c>
      <c r="R18" s="94">
        <f>COUNTIF('261014'!$C$18:$C$47,$C18)+COUNTIF('261014'!$I$18:$I$47,$C18)</f>
        <v>0</v>
      </c>
      <c r="S18" s="94">
        <f>COUNTIF('261015'!$C$18:$C$47,$C18)+COUNTIF('261015'!$I$18:$I$47,$C18)</f>
        <v>0</v>
      </c>
      <c r="T18" s="94">
        <f>COUNTIF('261016'!$C$18:$C$47,$C18)+COUNTIF('261016'!$I$18:$I$47,$C18)</f>
        <v>0</v>
      </c>
      <c r="U18" s="94">
        <f>COUNTIF('261017'!$C$18:$C$47,$C18)+COUNTIF('261017'!$I$18:$I$47,$C18)</f>
        <v>0</v>
      </c>
      <c r="V18" s="94">
        <f>COUNTIF('261018'!$C$18:$C$47,$C18)+COUNTIF('261018'!$I$18:$I$47,$C18)</f>
        <v>0</v>
      </c>
      <c r="W18" s="94">
        <f>COUNTIF('261019'!$C$18:$C$47,$C18)+COUNTIF('261019'!$I$18:$I$47,$C18)</f>
        <v>0</v>
      </c>
      <c r="X18" s="94">
        <f>COUNTIF('261020'!$C$18:$C$47,$C18)+COUNTIF('261020'!$I$18:$I$47,$C18)</f>
        <v>0</v>
      </c>
      <c r="Y18" s="94">
        <f>COUNTIF('261021'!$C$18:$C$47,$C18)+COUNTIF('261021'!$I$18:$I$47,$C18)</f>
        <v>0</v>
      </c>
      <c r="Z18" s="94">
        <f>COUNTIF('261022'!$C$18:$C$47,$C18)+COUNTIF('261022'!$I$18:$I$47,$C18)</f>
        <v>0</v>
      </c>
      <c r="AA18" s="94">
        <f>COUNTIF('261023'!$C$18:$C$47,$C18)+COUNTIF('261023'!$I$18:$I$47,$C18)</f>
        <v>0</v>
      </c>
      <c r="AB18" s="94">
        <f>COUNTIF('261024'!$C$18:$C$47,$C18)+COUNTIF('261024'!$I$18:$I$47,$C18)</f>
        <v>0</v>
      </c>
      <c r="AC18" s="94">
        <f>COUNTIF('261025'!$C$18:$C$47,$C18)+COUNTIF('261025'!$I$18:$I$47,$C18)</f>
        <v>0</v>
      </c>
      <c r="AD18" s="94">
        <f>COUNTIF('261026'!$C$18:$C$47,$C18)+COUNTIF('261026'!$I$18:$I$47,$C18)</f>
        <v>0</v>
      </c>
      <c r="AE18" s="94">
        <f>COUNTIF('261027'!$C$18:$C$47,$C18)+COUNTIF('261027'!$I$18:$I$47,$C18)</f>
        <v>0</v>
      </c>
      <c r="AF18" s="94">
        <f>COUNTIF('261028'!$C$18:$C$47,$C18)+COUNTIF('261028'!$I$18:$I$47,$C18)</f>
        <v>0</v>
      </c>
      <c r="AG18" s="94">
        <f>COUNTIF('261029'!$C$18:$C$47,$C18)+COUNTIF('261029'!$I$18:$I$47,$C18)</f>
        <v>0</v>
      </c>
      <c r="AH18" s="94">
        <f>COUNTIF('261030'!$C$18:$C$47,$C18)+COUNTIF('261030'!$I$18:$I$47,$C18)</f>
        <v>0</v>
      </c>
      <c r="AI18" s="94">
        <f>COUNTIF('261031'!$C$18:$C$47,$C18)+COUNTIF('261031'!$I$18:$I$47,$C18)</f>
        <v>0</v>
      </c>
      <c r="AJ18" s="108">
        <f t="shared" si="1"/>
        <v>0</v>
      </c>
      <c r="AL18" s="53"/>
      <c r="AM18" s="16"/>
    </row>
    <row r="19" spans="2:39" ht="20.100000000000001" customHeight="1" x14ac:dyDescent="0.3">
      <c r="B19" s="36">
        <f t="shared" si="2"/>
        <v>15</v>
      </c>
      <c r="C19" s="56"/>
      <c r="D19" s="56"/>
      <c r="E19" s="94">
        <f>COUNTIF('261001'!$C$18:$C$47,$C19)+COUNTIF('261001'!$I$18:$I$47,$C19)</f>
        <v>0</v>
      </c>
      <c r="F19" s="94">
        <f>COUNTIF('261002'!$C$18:$C$47,$C19)+COUNTIF('261002'!$I$18:$I$47,$C19)</f>
        <v>0</v>
      </c>
      <c r="G19" s="94">
        <f>COUNTIF('261003'!$C$18:$C$47,$C19)+COUNTIF('261003'!$I$18:$I$47,$C19)</f>
        <v>0</v>
      </c>
      <c r="H19" s="94">
        <f>COUNTIF('261004'!$C$18:$C$47,$C19)+COUNTIF('261004'!$I$18:$I$47,$C19)</f>
        <v>0</v>
      </c>
      <c r="I19" s="94">
        <f>COUNTIF('261005'!$C$18:$C$47,$C19)+COUNTIF('261005'!$I$18:$I$47,$C19)</f>
        <v>0</v>
      </c>
      <c r="J19" s="94">
        <f>COUNTIF('261006'!$C$18:$C$47,$C19)+COUNTIF('261006'!$I$18:$I$47,$C19)</f>
        <v>0</v>
      </c>
      <c r="K19" s="94">
        <f>COUNTIF('261007'!$C$18:$C$47,$C19)+COUNTIF('261007'!$I$18:$I$47,$C19)</f>
        <v>0</v>
      </c>
      <c r="L19" s="94">
        <f>COUNTIF('261008'!$C$18:$C$47,$C19)+COUNTIF('261008'!$I$18:$I$47,$C19)</f>
        <v>0</v>
      </c>
      <c r="M19" s="94">
        <f>COUNTIF('261009'!$C$18:$C$47,$C19)+COUNTIF('261009'!$I$18:$I$47,$C19)</f>
        <v>0</v>
      </c>
      <c r="N19" s="94">
        <f>COUNTIF('261010'!$C$18:$C$47,$C19)+COUNTIF('261010'!$I$18:$I$47,$C19)</f>
        <v>0</v>
      </c>
      <c r="O19" s="94">
        <f>COUNTIF('261011'!$C$18:$C$47,$C19)+COUNTIF('261011'!$I$18:$I$47,$C19)</f>
        <v>0</v>
      </c>
      <c r="P19" s="94">
        <f>COUNTIF('261012'!$C$18:$C$47,$C19)+COUNTIF('261012'!$I$18:$I$47,$C19)</f>
        <v>0</v>
      </c>
      <c r="Q19" s="94">
        <f>COUNTIF('261013'!$C$18:$C$47,$C19)+COUNTIF('261013'!$I$18:$I$47,$C19)</f>
        <v>0</v>
      </c>
      <c r="R19" s="94">
        <f>COUNTIF('261014'!$C$18:$C$47,$C19)+COUNTIF('261014'!$I$18:$I$47,$C19)</f>
        <v>0</v>
      </c>
      <c r="S19" s="94">
        <f>COUNTIF('261015'!$C$18:$C$47,$C19)+COUNTIF('261015'!$I$18:$I$47,$C19)</f>
        <v>0</v>
      </c>
      <c r="T19" s="94">
        <f>COUNTIF('261016'!$C$18:$C$47,$C19)+COUNTIF('261016'!$I$18:$I$47,$C19)</f>
        <v>0</v>
      </c>
      <c r="U19" s="94">
        <f>COUNTIF('261017'!$C$18:$C$47,$C19)+COUNTIF('261017'!$I$18:$I$47,$C19)</f>
        <v>0</v>
      </c>
      <c r="V19" s="94">
        <f>COUNTIF('261018'!$C$18:$C$47,$C19)+COUNTIF('261018'!$I$18:$I$47,$C19)</f>
        <v>0</v>
      </c>
      <c r="W19" s="94">
        <f>COUNTIF('261019'!$C$18:$C$47,$C19)+COUNTIF('261019'!$I$18:$I$47,$C19)</f>
        <v>0</v>
      </c>
      <c r="X19" s="94">
        <f>COUNTIF('261020'!$C$18:$C$47,$C19)+COUNTIF('261020'!$I$18:$I$47,$C19)</f>
        <v>0</v>
      </c>
      <c r="Y19" s="94">
        <f>COUNTIF('261021'!$C$18:$C$47,$C19)+COUNTIF('261021'!$I$18:$I$47,$C19)</f>
        <v>0</v>
      </c>
      <c r="Z19" s="94">
        <f>COUNTIF('261022'!$C$18:$C$47,$C19)+COUNTIF('261022'!$I$18:$I$47,$C19)</f>
        <v>0</v>
      </c>
      <c r="AA19" s="94">
        <f>COUNTIF('261023'!$C$18:$C$47,$C19)+COUNTIF('261023'!$I$18:$I$47,$C19)</f>
        <v>0</v>
      </c>
      <c r="AB19" s="94">
        <f>COUNTIF('261024'!$C$18:$C$47,$C19)+COUNTIF('261024'!$I$18:$I$47,$C19)</f>
        <v>0</v>
      </c>
      <c r="AC19" s="94">
        <f>COUNTIF('261025'!$C$18:$C$47,$C19)+COUNTIF('261025'!$I$18:$I$47,$C19)</f>
        <v>0</v>
      </c>
      <c r="AD19" s="94">
        <f>COUNTIF('261026'!$C$18:$C$47,$C19)+COUNTIF('261026'!$I$18:$I$47,$C19)</f>
        <v>0</v>
      </c>
      <c r="AE19" s="94">
        <f>COUNTIF('261027'!$C$18:$C$47,$C19)+COUNTIF('261027'!$I$18:$I$47,$C19)</f>
        <v>0</v>
      </c>
      <c r="AF19" s="94">
        <f>COUNTIF('261028'!$C$18:$C$47,$C19)+COUNTIF('261028'!$I$18:$I$47,$C19)</f>
        <v>0</v>
      </c>
      <c r="AG19" s="94">
        <f>COUNTIF('261029'!$C$18:$C$47,$C19)+COUNTIF('261029'!$I$18:$I$47,$C19)</f>
        <v>0</v>
      </c>
      <c r="AH19" s="94">
        <f>COUNTIF('261030'!$C$18:$C$47,$C19)+COUNTIF('261030'!$I$18:$I$47,$C19)</f>
        <v>0</v>
      </c>
      <c r="AI19" s="94">
        <f>COUNTIF('261031'!$C$18:$C$47,$C19)+COUNTIF('261031'!$I$18:$I$47,$C19)</f>
        <v>0</v>
      </c>
      <c r="AJ19" s="108">
        <f t="shared" si="1"/>
        <v>0</v>
      </c>
    </row>
    <row r="20" spans="2:39" ht="20.100000000000001" customHeight="1" x14ac:dyDescent="0.3">
      <c r="B20" s="36">
        <f t="shared" si="2"/>
        <v>16</v>
      </c>
      <c r="C20" s="56"/>
      <c r="D20" s="56"/>
      <c r="E20" s="94">
        <f>COUNTIF('261001'!$C$18:$C$47,$C20)+COUNTIF('261001'!$I$18:$I$47,$C20)</f>
        <v>0</v>
      </c>
      <c r="F20" s="94">
        <f>COUNTIF('261002'!$C$18:$C$47,$C20)+COUNTIF('261002'!$I$18:$I$47,$C20)</f>
        <v>0</v>
      </c>
      <c r="G20" s="94">
        <f>COUNTIF('261003'!$C$18:$C$47,$C20)+COUNTIF('261003'!$I$18:$I$47,$C20)</f>
        <v>0</v>
      </c>
      <c r="H20" s="94">
        <f>COUNTIF('261004'!$C$18:$C$47,$C20)+COUNTIF('261004'!$I$18:$I$47,$C20)</f>
        <v>0</v>
      </c>
      <c r="I20" s="94">
        <f>COUNTIF('261005'!$C$18:$C$47,$C20)+COUNTIF('261005'!$I$18:$I$47,$C20)</f>
        <v>0</v>
      </c>
      <c r="J20" s="94">
        <f>COUNTIF('261006'!$C$18:$C$47,$C20)+COUNTIF('261006'!$I$18:$I$47,$C20)</f>
        <v>0</v>
      </c>
      <c r="K20" s="94">
        <f>COUNTIF('261007'!$C$18:$C$47,$C20)+COUNTIF('261007'!$I$18:$I$47,$C20)</f>
        <v>0</v>
      </c>
      <c r="L20" s="94">
        <f>COUNTIF('261008'!$C$18:$C$47,$C20)+COUNTIF('261008'!$I$18:$I$47,$C20)</f>
        <v>0</v>
      </c>
      <c r="M20" s="94">
        <f>COUNTIF('261009'!$C$18:$C$47,$C20)+COUNTIF('261009'!$I$18:$I$47,$C20)</f>
        <v>0</v>
      </c>
      <c r="N20" s="94">
        <f>COUNTIF('261010'!$C$18:$C$47,$C20)+COUNTIF('261010'!$I$18:$I$47,$C20)</f>
        <v>0</v>
      </c>
      <c r="O20" s="94">
        <f>COUNTIF('261011'!$C$18:$C$47,$C20)+COUNTIF('261011'!$I$18:$I$47,$C20)</f>
        <v>0</v>
      </c>
      <c r="P20" s="94">
        <f>COUNTIF('261012'!$C$18:$C$47,$C20)+COUNTIF('261012'!$I$18:$I$47,$C20)</f>
        <v>0</v>
      </c>
      <c r="Q20" s="94">
        <f>COUNTIF('261013'!$C$18:$C$47,$C20)+COUNTIF('261013'!$I$18:$I$47,$C20)</f>
        <v>0</v>
      </c>
      <c r="R20" s="94">
        <f>COUNTIF('261014'!$C$18:$C$47,$C20)+COUNTIF('261014'!$I$18:$I$47,$C20)</f>
        <v>0</v>
      </c>
      <c r="S20" s="94">
        <f>COUNTIF('261015'!$C$18:$C$47,$C20)+COUNTIF('261015'!$I$18:$I$47,$C20)</f>
        <v>0</v>
      </c>
      <c r="T20" s="94">
        <f>COUNTIF('261016'!$C$18:$C$47,$C20)+COUNTIF('261016'!$I$18:$I$47,$C20)</f>
        <v>0</v>
      </c>
      <c r="U20" s="94">
        <f>COUNTIF('261017'!$C$18:$C$47,$C20)+COUNTIF('261017'!$I$18:$I$47,$C20)</f>
        <v>0</v>
      </c>
      <c r="V20" s="94">
        <f>COUNTIF('261018'!$C$18:$C$47,$C20)+COUNTIF('261018'!$I$18:$I$47,$C20)</f>
        <v>0</v>
      </c>
      <c r="W20" s="94">
        <f>COUNTIF('261019'!$C$18:$C$47,$C20)+COUNTIF('261019'!$I$18:$I$47,$C20)</f>
        <v>0</v>
      </c>
      <c r="X20" s="94">
        <f>COUNTIF('261020'!$C$18:$C$47,$C20)+COUNTIF('261020'!$I$18:$I$47,$C20)</f>
        <v>0</v>
      </c>
      <c r="Y20" s="94">
        <f>COUNTIF('261021'!$C$18:$C$47,$C20)+COUNTIF('261021'!$I$18:$I$47,$C20)</f>
        <v>0</v>
      </c>
      <c r="Z20" s="94">
        <f>COUNTIF('261022'!$C$18:$C$47,$C20)+COUNTIF('261022'!$I$18:$I$47,$C20)</f>
        <v>0</v>
      </c>
      <c r="AA20" s="94">
        <f>COUNTIF('261023'!$C$18:$C$47,$C20)+COUNTIF('261023'!$I$18:$I$47,$C20)</f>
        <v>0</v>
      </c>
      <c r="AB20" s="94">
        <f>COUNTIF('261024'!$C$18:$C$47,$C20)+COUNTIF('261024'!$I$18:$I$47,$C20)</f>
        <v>0</v>
      </c>
      <c r="AC20" s="94">
        <f>COUNTIF('261025'!$C$18:$C$47,$C20)+COUNTIF('261025'!$I$18:$I$47,$C20)</f>
        <v>0</v>
      </c>
      <c r="AD20" s="94">
        <f>COUNTIF('261026'!$C$18:$C$47,$C20)+COUNTIF('261026'!$I$18:$I$47,$C20)</f>
        <v>0</v>
      </c>
      <c r="AE20" s="94">
        <f>COUNTIF('261027'!$C$18:$C$47,$C20)+COUNTIF('261027'!$I$18:$I$47,$C20)</f>
        <v>0</v>
      </c>
      <c r="AF20" s="94">
        <f>COUNTIF('261028'!$C$18:$C$47,$C20)+COUNTIF('261028'!$I$18:$I$47,$C20)</f>
        <v>0</v>
      </c>
      <c r="AG20" s="94">
        <f>COUNTIF('261029'!$C$18:$C$47,$C20)+COUNTIF('261029'!$I$18:$I$47,$C20)</f>
        <v>0</v>
      </c>
      <c r="AH20" s="94">
        <f>COUNTIF('261030'!$C$18:$C$47,$C20)+COUNTIF('261030'!$I$18:$I$47,$C20)</f>
        <v>0</v>
      </c>
      <c r="AI20" s="94">
        <f>COUNTIF('261031'!$C$18:$C$47,$C20)+COUNTIF('261031'!$I$18:$I$47,$C20)</f>
        <v>0</v>
      </c>
      <c r="AJ20" s="108">
        <f t="shared" si="1"/>
        <v>0</v>
      </c>
    </row>
    <row r="21" spans="2:39" ht="20.100000000000001" customHeight="1" x14ac:dyDescent="0.3">
      <c r="B21" s="36">
        <f t="shared" si="2"/>
        <v>17</v>
      </c>
      <c r="C21" s="56"/>
      <c r="D21" s="56"/>
      <c r="E21" s="94">
        <f>COUNTIF('261001'!$C$18:$C$47,$C21)+COUNTIF('261001'!$I$18:$I$47,$C21)</f>
        <v>0</v>
      </c>
      <c r="F21" s="94">
        <f>COUNTIF('261002'!$C$18:$C$47,$C21)+COUNTIF('261002'!$I$18:$I$47,$C21)</f>
        <v>0</v>
      </c>
      <c r="G21" s="94">
        <f>COUNTIF('261003'!$C$18:$C$47,$C21)+COUNTIF('261003'!$I$18:$I$47,$C21)</f>
        <v>0</v>
      </c>
      <c r="H21" s="94">
        <f>COUNTIF('261004'!$C$18:$C$47,$C21)+COUNTIF('261004'!$I$18:$I$47,$C21)</f>
        <v>0</v>
      </c>
      <c r="I21" s="94">
        <f>COUNTIF('261005'!$C$18:$C$47,$C21)+COUNTIF('261005'!$I$18:$I$47,$C21)</f>
        <v>0</v>
      </c>
      <c r="J21" s="94">
        <f>COUNTIF('261006'!$C$18:$C$47,$C21)+COUNTIF('261006'!$I$18:$I$47,$C21)</f>
        <v>0</v>
      </c>
      <c r="K21" s="94">
        <f>COUNTIF('261007'!$C$18:$C$47,$C21)+COUNTIF('261007'!$I$18:$I$47,$C21)</f>
        <v>0</v>
      </c>
      <c r="L21" s="94">
        <f>COUNTIF('261008'!$C$18:$C$47,$C21)+COUNTIF('261008'!$I$18:$I$47,$C21)</f>
        <v>0</v>
      </c>
      <c r="M21" s="94">
        <f>COUNTIF('261009'!$C$18:$C$47,$C21)+COUNTIF('261009'!$I$18:$I$47,$C21)</f>
        <v>0</v>
      </c>
      <c r="N21" s="94">
        <f>COUNTIF('261010'!$C$18:$C$47,$C21)+COUNTIF('261010'!$I$18:$I$47,$C21)</f>
        <v>0</v>
      </c>
      <c r="O21" s="94">
        <f>COUNTIF('261011'!$C$18:$C$47,$C21)+COUNTIF('261011'!$I$18:$I$47,$C21)</f>
        <v>0</v>
      </c>
      <c r="P21" s="94">
        <f>COUNTIF('261012'!$C$18:$C$47,$C21)+COUNTIF('261012'!$I$18:$I$47,$C21)</f>
        <v>0</v>
      </c>
      <c r="Q21" s="94">
        <f>COUNTIF('261013'!$C$18:$C$47,$C21)+COUNTIF('261013'!$I$18:$I$47,$C21)</f>
        <v>0</v>
      </c>
      <c r="R21" s="94">
        <f>COUNTIF('261014'!$C$18:$C$47,$C21)+COUNTIF('261014'!$I$18:$I$47,$C21)</f>
        <v>0</v>
      </c>
      <c r="S21" s="94">
        <f>COUNTIF('261015'!$C$18:$C$47,$C21)+COUNTIF('261015'!$I$18:$I$47,$C21)</f>
        <v>0</v>
      </c>
      <c r="T21" s="94">
        <f>COUNTIF('261016'!$C$18:$C$47,$C21)+COUNTIF('261016'!$I$18:$I$47,$C21)</f>
        <v>0</v>
      </c>
      <c r="U21" s="94">
        <f>COUNTIF('261017'!$C$18:$C$47,$C21)+COUNTIF('261017'!$I$18:$I$47,$C21)</f>
        <v>0</v>
      </c>
      <c r="V21" s="94">
        <f>COUNTIF('261018'!$C$18:$C$47,$C21)+COUNTIF('261018'!$I$18:$I$47,$C21)</f>
        <v>0</v>
      </c>
      <c r="W21" s="94">
        <f>COUNTIF('261019'!$C$18:$C$47,$C21)+COUNTIF('261019'!$I$18:$I$47,$C21)</f>
        <v>0</v>
      </c>
      <c r="X21" s="94">
        <f>COUNTIF('261020'!$C$18:$C$47,$C21)+COUNTIF('261020'!$I$18:$I$47,$C21)</f>
        <v>0</v>
      </c>
      <c r="Y21" s="94">
        <f>COUNTIF('261021'!$C$18:$C$47,$C21)+COUNTIF('261021'!$I$18:$I$47,$C21)</f>
        <v>0</v>
      </c>
      <c r="Z21" s="94">
        <f>COUNTIF('261022'!$C$18:$C$47,$C21)+COUNTIF('261022'!$I$18:$I$47,$C21)</f>
        <v>0</v>
      </c>
      <c r="AA21" s="94">
        <f>COUNTIF('261023'!$C$18:$C$47,$C21)+COUNTIF('261023'!$I$18:$I$47,$C21)</f>
        <v>0</v>
      </c>
      <c r="AB21" s="94">
        <f>COUNTIF('261024'!$C$18:$C$47,$C21)+COUNTIF('261024'!$I$18:$I$47,$C21)</f>
        <v>0</v>
      </c>
      <c r="AC21" s="94">
        <f>COUNTIF('261025'!$C$18:$C$47,$C21)+COUNTIF('261025'!$I$18:$I$47,$C21)</f>
        <v>0</v>
      </c>
      <c r="AD21" s="94">
        <f>COUNTIF('261026'!$C$18:$C$47,$C21)+COUNTIF('261026'!$I$18:$I$47,$C21)</f>
        <v>0</v>
      </c>
      <c r="AE21" s="94">
        <f>COUNTIF('261027'!$C$18:$C$47,$C21)+COUNTIF('261027'!$I$18:$I$47,$C21)</f>
        <v>0</v>
      </c>
      <c r="AF21" s="94">
        <f>COUNTIF('261028'!$C$18:$C$47,$C21)+COUNTIF('261028'!$I$18:$I$47,$C21)</f>
        <v>0</v>
      </c>
      <c r="AG21" s="94">
        <f>COUNTIF('261029'!$C$18:$C$47,$C21)+COUNTIF('261029'!$I$18:$I$47,$C21)</f>
        <v>0</v>
      </c>
      <c r="AH21" s="94">
        <f>COUNTIF('261030'!$C$18:$C$47,$C21)+COUNTIF('261030'!$I$18:$I$47,$C21)</f>
        <v>0</v>
      </c>
      <c r="AI21" s="94">
        <f>COUNTIF('261031'!$C$18:$C$47,$C21)+COUNTIF('261031'!$I$18:$I$47,$C21)</f>
        <v>0</v>
      </c>
      <c r="AJ21" s="108">
        <f t="shared" si="1"/>
        <v>0</v>
      </c>
    </row>
    <row r="22" spans="2:39" ht="20.100000000000001" customHeight="1" x14ac:dyDescent="0.3">
      <c r="B22" s="36">
        <f t="shared" si="2"/>
        <v>18</v>
      </c>
      <c r="C22" s="56"/>
      <c r="D22" s="56"/>
      <c r="E22" s="94">
        <f>COUNTIF('261001'!$C$18:$C$47,$C22)+COUNTIF('261001'!$I$18:$I$47,$C22)</f>
        <v>0</v>
      </c>
      <c r="F22" s="94">
        <f>COUNTIF('261002'!$C$18:$C$47,$C22)+COUNTIF('261002'!$I$18:$I$47,$C22)</f>
        <v>0</v>
      </c>
      <c r="G22" s="94">
        <f>COUNTIF('261003'!$C$18:$C$47,$C22)+COUNTIF('261003'!$I$18:$I$47,$C22)</f>
        <v>0</v>
      </c>
      <c r="H22" s="94">
        <f>COUNTIF('261004'!$C$18:$C$47,$C22)+COUNTIF('261004'!$I$18:$I$47,$C22)</f>
        <v>0</v>
      </c>
      <c r="I22" s="94">
        <f>COUNTIF('261005'!$C$18:$C$47,$C22)+COUNTIF('261005'!$I$18:$I$47,$C22)</f>
        <v>0</v>
      </c>
      <c r="J22" s="94">
        <f>COUNTIF('261006'!$C$18:$C$47,$C22)+COUNTIF('261006'!$I$18:$I$47,$C22)</f>
        <v>0</v>
      </c>
      <c r="K22" s="94">
        <f>COUNTIF('261007'!$C$18:$C$47,$C22)+COUNTIF('261007'!$I$18:$I$47,$C22)</f>
        <v>0</v>
      </c>
      <c r="L22" s="94">
        <f>COUNTIF('261008'!$C$18:$C$47,$C22)+COUNTIF('261008'!$I$18:$I$47,$C22)</f>
        <v>0</v>
      </c>
      <c r="M22" s="94">
        <f>COUNTIF('261009'!$C$18:$C$47,$C22)+COUNTIF('261009'!$I$18:$I$47,$C22)</f>
        <v>0</v>
      </c>
      <c r="N22" s="94">
        <f>COUNTIF('261010'!$C$18:$C$47,$C22)+COUNTIF('261010'!$I$18:$I$47,$C22)</f>
        <v>0</v>
      </c>
      <c r="O22" s="94">
        <f>COUNTIF('261011'!$C$18:$C$47,$C22)+COUNTIF('261011'!$I$18:$I$47,$C22)</f>
        <v>0</v>
      </c>
      <c r="P22" s="94">
        <f>COUNTIF('261012'!$C$18:$C$47,$C22)+COUNTIF('261012'!$I$18:$I$47,$C22)</f>
        <v>0</v>
      </c>
      <c r="Q22" s="94">
        <f>COUNTIF('261013'!$C$18:$C$47,$C22)+COUNTIF('261013'!$I$18:$I$47,$C22)</f>
        <v>0</v>
      </c>
      <c r="R22" s="94">
        <f>COUNTIF('261014'!$C$18:$C$47,$C22)+COUNTIF('261014'!$I$18:$I$47,$C22)</f>
        <v>0</v>
      </c>
      <c r="S22" s="94">
        <f>COUNTIF('261015'!$C$18:$C$47,$C22)+COUNTIF('261015'!$I$18:$I$47,$C22)</f>
        <v>0</v>
      </c>
      <c r="T22" s="94">
        <f>COUNTIF('261016'!$C$18:$C$47,$C22)+COUNTIF('261016'!$I$18:$I$47,$C22)</f>
        <v>0</v>
      </c>
      <c r="U22" s="94">
        <f>COUNTIF('261017'!$C$18:$C$47,$C22)+COUNTIF('261017'!$I$18:$I$47,$C22)</f>
        <v>0</v>
      </c>
      <c r="V22" s="94">
        <f>COUNTIF('261018'!$C$18:$C$47,$C22)+COUNTIF('261018'!$I$18:$I$47,$C22)</f>
        <v>0</v>
      </c>
      <c r="W22" s="94">
        <f>COUNTIF('261019'!$C$18:$C$47,$C22)+COUNTIF('261019'!$I$18:$I$47,$C22)</f>
        <v>0</v>
      </c>
      <c r="X22" s="94">
        <f>COUNTIF('261020'!$C$18:$C$47,$C22)+COUNTIF('261020'!$I$18:$I$47,$C22)</f>
        <v>0</v>
      </c>
      <c r="Y22" s="94">
        <f>COUNTIF('261021'!$C$18:$C$47,$C22)+COUNTIF('261021'!$I$18:$I$47,$C22)</f>
        <v>0</v>
      </c>
      <c r="Z22" s="94">
        <f>COUNTIF('261022'!$C$18:$C$47,$C22)+COUNTIF('261022'!$I$18:$I$47,$C22)</f>
        <v>0</v>
      </c>
      <c r="AA22" s="94">
        <f>COUNTIF('261023'!$C$18:$C$47,$C22)+COUNTIF('261023'!$I$18:$I$47,$C22)</f>
        <v>0</v>
      </c>
      <c r="AB22" s="94">
        <f>COUNTIF('261024'!$C$18:$C$47,$C22)+COUNTIF('261024'!$I$18:$I$47,$C22)</f>
        <v>0</v>
      </c>
      <c r="AC22" s="94">
        <f>COUNTIF('261025'!$C$18:$C$47,$C22)+COUNTIF('261025'!$I$18:$I$47,$C22)</f>
        <v>0</v>
      </c>
      <c r="AD22" s="94">
        <f>COUNTIF('261026'!$C$18:$C$47,$C22)+COUNTIF('261026'!$I$18:$I$47,$C22)</f>
        <v>0</v>
      </c>
      <c r="AE22" s="94">
        <f>COUNTIF('261027'!$C$18:$C$47,$C22)+COUNTIF('261027'!$I$18:$I$47,$C22)</f>
        <v>0</v>
      </c>
      <c r="AF22" s="94">
        <f>COUNTIF('261028'!$C$18:$C$47,$C22)+COUNTIF('261028'!$I$18:$I$47,$C22)</f>
        <v>0</v>
      </c>
      <c r="AG22" s="94">
        <f>COUNTIF('261029'!$C$18:$C$47,$C22)+COUNTIF('261029'!$I$18:$I$47,$C22)</f>
        <v>0</v>
      </c>
      <c r="AH22" s="94">
        <f>COUNTIF('261030'!$C$18:$C$47,$C22)+COUNTIF('261030'!$I$18:$I$47,$C22)</f>
        <v>0</v>
      </c>
      <c r="AI22" s="94">
        <f>COUNTIF('261031'!$C$18:$C$47,$C22)+COUNTIF('261031'!$I$18:$I$47,$C22)</f>
        <v>0</v>
      </c>
      <c r="AJ22" s="108">
        <f t="shared" si="1"/>
        <v>0</v>
      </c>
    </row>
    <row r="23" spans="2:39" ht="20.100000000000001" customHeight="1" x14ac:dyDescent="0.3">
      <c r="B23" s="36">
        <f t="shared" si="2"/>
        <v>19</v>
      </c>
      <c r="C23" s="56"/>
      <c r="D23" s="56"/>
      <c r="E23" s="94">
        <f>COUNTIF('261001'!$C$18:$C$47,$C23)+COUNTIF('261001'!$I$18:$I$47,$C23)</f>
        <v>0</v>
      </c>
      <c r="F23" s="94">
        <f>COUNTIF('261002'!$C$18:$C$47,$C23)+COUNTIF('261002'!$I$18:$I$47,$C23)</f>
        <v>0</v>
      </c>
      <c r="G23" s="94">
        <f>COUNTIF('261003'!$C$18:$C$47,$C23)+COUNTIF('261003'!$I$18:$I$47,$C23)</f>
        <v>0</v>
      </c>
      <c r="H23" s="94">
        <f>COUNTIF('261004'!$C$18:$C$47,$C23)+COUNTIF('261004'!$I$18:$I$47,$C23)</f>
        <v>0</v>
      </c>
      <c r="I23" s="94">
        <f>COUNTIF('261005'!$C$18:$C$47,$C23)+COUNTIF('261005'!$I$18:$I$47,$C23)</f>
        <v>0</v>
      </c>
      <c r="J23" s="94">
        <f>COUNTIF('261006'!$C$18:$C$47,$C23)+COUNTIF('261006'!$I$18:$I$47,$C23)</f>
        <v>0</v>
      </c>
      <c r="K23" s="94">
        <f>COUNTIF('261007'!$C$18:$C$47,$C23)+COUNTIF('261007'!$I$18:$I$47,$C23)</f>
        <v>0</v>
      </c>
      <c r="L23" s="94">
        <f>COUNTIF('261008'!$C$18:$C$47,$C23)+COUNTIF('261008'!$I$18:$I$47,$C23)</f>
        <v>0</v>
      </c>
      <c r="M23" s="94">
        <f>COUNTIF('261009'!$C$18:$C$47,$C23)+COUNTIF('261009'!$I$18:$I$47,$C23)</f>
        <v>0</v>
      </c>
      <c r="N23" s="94">
        <f>COUNTIF('261010'!$C$18:$C$47,$C23)+COUNTIF('261010'!$I$18:$I$47,$C23)</f>
        <v>0</v>
      </c>
      <c r="O23" s="94">
        <f>COUNTIF('261011'!$C$18:$C$47,$C23)+COUNTIF('261011'!$I$18:$I$47,$C23)</f>
        <v>0</v>
      </c>
      <c r="P23" s="94">
        <f>COUNTIF('261012'!$C$18:$C$47,$C23)+COUNTIF('261012'!$I$18:$I$47,$C23)</f>
        <v>0</v>
      </c>
      <c r="Q23" s="94">
        <f>COUNTIF('261013'!$C$18:$C$47,$C23)+COUNTIF('261013'!$I$18:$I$47,$C23)</f>
        <v>0</v>
      </c>
      <c r="R23" s="94">
        <f>COUNTIF('261014'!$C$18:$C$47,$C23)+COUNTIF('261014'!$I$18:$I$47,$C23)</f>
        <v>0</v>
      </c>
      <c r="S23" s="94">
        <f>COUNTIF('261015'!$C$18:$C$47,$C23)+COUNTIF('261015'!$I$18:$I$47,$C23)</f>
        <v>0</v>
      </c>
      <c r="T23" s="94">
        <f>COUNTIF('261016'!$C$18:$C$47,$C23)+COUNTIF('261016'!$I$18:$I$47,$C23)</f>
        <v>0</v>
      </c>
      <c r="U23" s="94">
        <f>COUNTIF('261017'!$C$18:$C$47,$C23)+COUNTIF('261017'!$I$18:$I$47,$C23)</f>
        <v>0</v>
      </c>
      <c r="V23" s="94">
        <f>COUNTIF('261018'!$C$18:$C$47,$C23)+COUNTIF('261018'!$I$18:$I$47,$C23)</f>
        <v>0</v>
      </c>
      <c r="W23" s="94">
        <f>COUNTIF('261019'!$C$18:$C$47,$C23)+COUNTIF('261019'!$I$18:$I$47,$C23)</f>
        <v>0</v>
      </c>
      <c r="X23" s="94">
        <f>COUNTIF('261020'!$C$18:$C$47,$C23)+COUNTIF('261020'!$I$18:$I$47,$C23)</f>
        <v>0</v>
      </c>
      <c r="Y23" s="94">
        <f>COUNTIF('261021'!$C$18:$C$47,$C23)+COUNTIF('261021'!$I$18:$I$47,$C23)</f>
        <v>0</v>
      </c>
      <c r="Z23" s="94">
        <f>COUNTIF('261022'!$C$18:$C$47,$C23)+COUNTIF('261022'!$I$18:$I$47,$C23)</f>
        <v>0</v>
      </c>
      <c r="AA23" s="94">
        <f>COUNTIF('261023'!$C$18:$C$47,$C23)+COUNTIF('261023'!$I$18:$I$47,$C23)</f>
        <v>0</v>
      </c>
      <c r="AB23" s="94">
        <f>COUNTIF('261024'!$C$18:$C$47,$C23)+COUNTIF('261024'!$I$18:$I$47,$C23)</f>
        <v>0</v>
      </c>
      <c r="AC23" s="94">
        <f>COUNTIF('261025'!$C$18:$C$47,$C23)+COUNTIF('261025'!$I$18:$I$47,$C23)</f>
        <v>0</v>
      </c>
      <c r="AD23" s="94">
        <f>COUNTIF('261026'!$C$18:$C$47,$C23)+COUNTIF('261026'!$I$18:$I$47,$C23)</f>
        <v>0</v>
      </c>
      <c r="AE23" s="94">
        <f>COUNTIF('261027'!$C$18:$C$47,$C23)+COUNTIF('261027'!$I$18:$I$47,$C23)</f>
        <v>0</v>
      </c>
      <c r="AF23" s="94">
        <f>COUNTIF('261028'!$C$18:$C$47,$C23)+COUNTIF('261028'!$I$18:$I$47,$C23)</f>
        <v>0</v>
      </c>
      <c r="AG23" s="94">
        <f>COUNTIF('261029'!$C$18:$C$47,$C23)+COUNTIF('261029'!$I$18:$I$47,$C23)</f>
        <v>0</v>
      </c>
      <c r="AH23" s="94">
        <f>COUNTIF('261030'!$C$18:$C$47,$C23)+COUNTIF('261030'!$I$18:$I$47,$C23)</f>
        <v>0</v>
      </c>
      <c r="AI23" s="94">
        <f>COUNTIF('261031'!$C$18:$C$47,$C23)+COUNTIF('261031'!$I$18:$I$47,$C23)</f>
        <v>0</v>
      </c>
      <c r="AJ23" s="108">
        <f t="shared" si="1"/>
        <v>0</v>
      </c>
    </row>
    <row r="24" spans="2:39" ht="20.100000000000001" customHeight="1" x14ac:dyDescent="0.3">
      <c r="B24" s="36">
        <f t="shared" si="2"/>
        <v>20</v>
      </c>
      <c r="C24" s="56"/>
      <c r="D24" s="56"/>
      <c r="E24" s="94">
        <f>COUNTIF('261001'!$C$18:$C$47,$C24)+COUNTIF('261001'!$I$18:$I$47,$C24)</f>
        <v>0</v>
      </c>
      <c r="F24" s="94">
        <f>COUNTIF('261002'!$C$18:$C$47,$C24)+COUNTIF('261002'!$I$18:$I$47,$C24)</f>
        <v>0</v>
      </c>
      <c r="G24" s="94">
        <f>COUNTIF('261003'!$C$18:$C$47,$C24)+COUNTIF('261003'!$I$18:$I$47,$C24)</f>
        <v>0</v>
      </c>
      <c r="H24" s="94">
        <f>COUNTIF('261004'!$C$18:$C$47,$C24)+COUNTIF('261004'!$I$18:$I$47,$C24)</f>
        <v>0</v>
      </c>
      <c r="I24" s="94">
        <f>COUNTIF('261005'!$C$18:$C$47,$C24)+COUNTIF('261005'!$I$18:$I$47,$C24)</f>
        <v>0</v>
      </c>
      <c r="J24" s="94">
        <f>COUNTIF('261006'!$C$18:$C$47,$C24)+COUNTIF('261006'!$I$18:$I$47,$C24)</f>
        <v>0</v>
      </c>
      <c r="K24" s="94">
        <f>COUNTIF('261007'!$C$18:$C$47,$C24)+COUNTIF('261007'!$I$18:$I$47,$C24)</f>
        <v>0</v>
      </c>
      <c r="L24" s="94">
        <f>COUNTIF('261008'!$C$18:$C$47,$C24)+COUNTIF('261008'!$I$18:$I$47,$C24)</f>
        <v>0</v>
      </c>
      <c r="M24" s="94">
        <f>COUNTIF('261009'!$C$18:$C$47,$C24)+COUNTIF('261009'!$I$18:$I$47,$C24)</f>
        <v>0</v>
      </c>
      <c r="N24" s="94">
        <f>COUNTIF('261010'!$C$18:$C$47,$C24)+COUNTIF('261010'!$I$18:$I$47,$C24)</f>
        <v>0</v>
      </c>
      <c r="O24" s="94">
        <f>COUNTIF('261011'!$C$18:$C$47,$C24)+COUNTIF('261011'!$I$18:$I$47,$C24)</f>
        <v>0</v>
      </c>
      <c r="P24" s="94">
        <f>COUNTIF('261012'!$C$18:$C$47,$C24)+COUNTIF('261012'!$I$18:$I$47,$C24)</f>
        <v>0</v>
      </c>
      <c r="Q24" s="94">
        <f>COUNTIF('261013'!$C$18:$C$47,$C24)+COUNTIF('261013'!$I$18:$I$47,$C24)</f>
        <v>0</v>
      </c>
      <c r="R24" s="94">
        <f>COUNTIF('261014'!$C$18:$C$47,$C24)+COUNTIF('261014'!$I$18:$I$47,$C24)</f>
        <v>0</v>
      </c>
      <c r="S24" s="94">
        <f>COUNTIF('261015'!$C$18:$C$47,$C24)+COUNTIF('261015'!$I$18:$I$47,$C24)</f>
        <v>0</v>
      </c>
      <c r="T24" s="94">
        <f>COUNTIF('261016'!$C$18:$C$47,$C24)+COUNTIF('261016'!$I$18:$I$47,$C24)</f>
        <v>0</v>
      </c>
      <c r="U24" s="94">
        <f>COUNTIF('261017'!$C$18:$C$47,$C24)+COUNTIF('261017'!$I$18:$I$47,$C24)</f>
        <v>0</v>
      </c>
      <c r="V24" s="94">
        <f>COUNTIF('261018'!$C$18:$C$47,$C24)+COUNTIF('261018'!$I$18:$I$47,$C24)</f>
        <v>0</v>
      </c>
      <c r="W24" s="94">
        <f>COUNTIF('261019'!$C$18:$C$47,$C24)+COUNTIF('261019'!$I$18:$I$47,$C24)</f>
        <v>0</v>
      </c>
      <c r="X24" s="94">
        <f>COUNTIF('261020'!$C$18:$C$47,$C24)+COUNTIF('261020'!$I$18:$I$47,$C24)</f>
        <v>0</v>
      </c>
      <c r="Y24" s="94">
        <f>COUNTIF('261021'!$C$18:$C$47,$C24)+COUNTIF('261021'!$I$18:$I$47,$C24)</f>
        <v>0</v>
      </c>
      <c r="Z24" s="94">
        <f>COUNTIF('261022'!$C$18:$C$47,$C24)+COUNTIF('261022'!$I$18:$I$47,$C24)</f>
        <v>0</v>
      </c>
      <c r="AA24" s="94">
        <f>COUNTIF('261023'!$C$18:$C$47,$C24)+COUNTIF('261023'!$I$18:$I$47,$C24)</f>
        <v>0</v>
      </c>
      <c r="AB24" s="94">
        <f>COUNTIF('261024'!$C$18:$C$47,$C24)+COUNTIF('261024'!$I$18:$I$47,$C24)</f>
        <v>0</v>
      </c>
      <c r="AC24" s="94">
        <f>COUNTIF('261025'!$C$18:$C$47,$C24)+COUNTIF('261025'!$I$18:$I$47,$C24)</f>
        <v>0</v>
      </c>
      <c r="AD24" s="94">
        <f>COUNTIF('261026'!$C$18:$C$47,$C24)+COUNTIF('261026'!$I$18:$I$47,$C24)</f>
        <v>0</v>
      </c>
      <c r="AE24" s="94">
        <f>COUNTIF('261027'!$C$18:$C$47,$C24)+COUNTIF('261027'!$I$18:$I$47,$C24)</f>
        <v>0</v>
      </c>
      <c r="AF24" s="94">
        <f>COUNTIF('261028'!$C$18:$C$47,$C24)+COUNTIF('261028'!$I$18:$I$47,$C24)</f>
        <v>0</v>
      </c>
      <c r="AG24" s="94">
        <f>COUNTIF('261029'!$C$18:$C$47,$C24)+COUNTIF('261029'!$I$18:$I$47,$C24)</f>
        <v>0</v>
      </c>
      <c r="AH24" s="94">
        <f>COUNTIF('261030'!$C$18:$C$47,$C24)+COUNTIF('261030'!$I$18:$I$47,$C24)</f>
        <v>0</v>
      </c>
      <c r="AI24" s="94">
        <f>COUNTIF('261031'!$C$18:$C$47,$C24)+COUNTIF('261031'!$I$18:$I$47,$C24)</f>
        <v>0</v>
      </c>
      <c r="AJ24" s="108">
        <f t="shared" si="1"/>
        <v>0</v>
      </c>
    </row>
    <row r="25" spans="2:39" ht="20.100000000000001" customHeight="1" x14ac:dyDescent="0.3">
      <c r="B25" s="36">
        <f t="shared" si="2"/>
        <v>21</v>
      </c>
      <c r="C25" s="62"/>
      <c r="D25" s="56"/>
      <c r="E25" s="94">
        <f>COUNTIF('261001'!$C$18:$C$47,$C25)+COUNTIF('261001'!$I$18:$I$47,$C25)</f>
        <v>0</v>
      </c>
      <c r="F25" s="94">
        <f>COUNTIF('261002'!$C$18:$C$47,$C25)+COUNTIF('261002'!$I$18:$I$47,$C25)</f>
        <v>0</v>
      </c>
      <c r="G25" s="94">
        <f>COUNTIF('261003'!$C$18:$C$47,$C25)+COUNTIF('261003'!$I$18:$I$47,$C25)</f>
        <v>0</v>
      </c>
      <c r="H25" s="94">
        <f>COUNTIF('261004'!$C$18:$C$47,$C25)+COUNTIF('261004'!$I$18:$I$47,$C25)</f>
        <v>0</v>
      </c>
      <c r="I25" s="94">
        <f>COUNTIF('261005'!$C$18:$C$47,$C25)+COUNTIF('261005'!$I$18:$I$47,$C25)</f>
        <v>0</v>
      </c>
      <c r="J25" s="94">
        <f>COUNTIF('261006'!$C$18:$C$47,$C25)+COUNTIF('261006'!$I$18:$I$47,$C25)</f>
        <v>0</v>
      </c>
      <c r="K25" s="94">
        <f>COUNTIF('261007'!$C$18:$C$47,$C25)+COUNTIF('261007'!$I$18:$I$47,$C25)</f>
        <v>0</v>
      </c>
      <c r="L25" s="94">
        <f>COUNTIF('261008'!$C$18:$C$47,$C25)+COUNTIF('261008'!$I$18:$I$47,$C25)</f>
        <v>0</v>
      </c>
      <c r="M25" s="94">
        <f>COUNTIF('261009'!$C$18:$C$47,$C25)+COUNTIF('261009'!$I$18:$I$47,$C25)</f>
        <v>0</v>
      </c>
      <c r="N25" s="94">
        <f>COUNTIF('261010'!$C$18:$C$47,$C25)+COUNTIF('261010'!$I$18:$I$47,$C25)</f>
        <v>0</v>
      </c>
      <c r="O25" s="94">
        <f>COUNTIF('261011'!$C$18:$C$47,$C25)+COUNTIF('261011'!$I$18:$I$47,$C25)</f>
        <v>0</v>
      </c>
      <c r="P25" s="94">
        <f>COUNTIF('261012'!$C$18:$C$47,$C25)+COUNTIF('261012'!$I$18:$I$47,$C25)</f>
        <v>0</v>
      </c>
      <c r="Q25" s="94">
        <f>COUNTIF('261013'!$C$18:$C$47,$C25)+COUNTIF('261013'!$I$18:$I$47,$C25)</f>
        <v>0</v>
      </c>
      <c r="R25" s="94">
        <f>COUNTIF('261014'!$C$18:$C$47,$C25)+COUNTIF('261014'!$I$18:$I$47,$C25)</f>
        <v>0</v>
      </c>
      <c r="S25" s="94">
        <f>COUNTIF('261015'!$C$18:$C$47,$C25)+COUNTIF('261015'!$I$18:$I$47,$C25)</f>
        <v>0</v>
      </c>
      <c r="T25" s="94">
        <f>COUNTIF('261016'!$C$18:$C$47,$C25)+COUNTIF('261016'!$I$18:$I$47,$C25)</f>
        <v>0</v>
      </c>
      <c r="U25" s="94">
        <f>COUNTIF('261017'!$C$18:$C$47,$C25)+COUNTIF('261017'!$I$18:$I$47,$C25)</f>
        <v>0</v>
      </c>
      <c r="V25" s="94">
        <f>COUNTIF('261018'!$C$18:$C$47,$C25)+COUNTIF('261018'!$I$18:$I$47,$C25)</f>
        <v>0</v>
      </c>
      <c r="W25" s="94">
        <f>COUNTIF('261019'!$C$18:$C$47,$C25)+COUNTIF('261019'!$I$18:$I$47,$C25)</f>
        <v>0</v>
      </c>
      <c r="X25" s="94">
        <f>COUNTIF('261020'!$C$18:$C$47,$C25)+COUNTIF('261020'!$I$18:$I$47,$C25)</f>
        <v>0</v>
      </c>
      <c r="Y25" s="94">
        <f>COUNTIF('261021'!$C$18:$C$47,$C25)+COUNTIF('261021'!$I$18:$I$47,$C25)</f>
        <v>0</v>
      </c>
      <c r="Z25" s="94">
        <f>COUNTIF('261022'!$C$18:$C$47,$C25)+COUNTIF('261022'!$I$18:$I$47,$C25)</f>
        <v>0</v>
      </c>
      <c r="AA25" s="94">
        <f>COUNTIF('261023'!$C$18:$C$47,$C25)+COUNTIF('261023'!$I$18:$I$47,$C25)</f>
        <v>0</v>
      </c>
      <c r="AB25" s="94">
        <f>COUNTIF('261024'!$C$18:$C$47,$C25)+COUNTIF('261024'!$I$18:$I$47,$C25)</f>
        <v>0</v>
      </c>
      <c r="AC25" s="94">
        <f>COUNTIF('261025'!$C$18:$C$47,$C25)+COUNTIF('261025'!$I$18:$I$47,$C25)</f>
        <v>0</v>
      </c>
      <c r="AD25" s="94">
        <f>COUNTIF('261026'!$C$18:$C$47,$C25)+COUNTIF('261026'!$I$18:$I$47,$C25)</f>
        <v>0</v>
      </c>
      <c r="AE25" s="94">
        <f>COUNTIF('261027'!$C$18:$C$47,$C25)+COUNTIF('261027'!$I$18:$I$47,$C25)</f>
        <v>0</v>
      </c>
      <c r="AF25" s="94">
        <f>COUNTIF('261028'!$C$18:$C$47,$C25)+COUNTIF('261028'!$I$18:$I$47,$C25)</f>
        <v>0</v>
      </c>
      <c r="AG25" s="94">
        <f>COUNTIF('261029'!$C$18:$C$47,$C25)+COUNTIF('261029'!$I$18:$I$47,$C25)</f>
        <v>0</v>
      </c>
      <c r="AH25" s="94">
        <f>COUNTIF('261030'!$C$18:$C$47,$C25)+COUNTIF('261030'!$I$18:$I$47,$C25)</f>
        <v>0</v>
      </c>
      <c r="AI25" s="94">
        <f>COUNTIF('261031'!$C$18:$C$47,$C25)+COUNTIF('261031'!$I$18:$I$47,$C25)</f>
        <v>0</v>
      </c>
      <c r="AJ25" s="108">
        <f t="shared" si="1"/>
        <v>0</v>
      </c>
    </row>
    <row r="26" spans="2:39" ht="20.100000000000001" customHeight="1" x14ac:dyDescent="0.3">
      <c r="B26" s="36">
        <f t="shared" si="2"/>
        <v>22</v>
      </c>
      <c r="C26" s="62"/>
      <c r="D26" s="56"/>
      <c r="E26" s="94">
        <f>COUNTIF('261001'!$C$18:$C$47,$C26)+COUNTIF('261001'!$I$18:$I$47,$C26)</f>
        <v>0</v>
      </c>
      <c r="F26" s="94">
        <f>COUNTIF('261002'!$C$18:$C$47,$C26)+COUNTIF('261002'!$I$18:$I$47,$C26)</f>
        <v>0</v>
      </c>
      <c r="G26" s="94">
        <f>COUNTIF('261003'!$C$18:$C$47,$C26)+COUNTIF('261003'!$I$18:$I$47,$C26)</f>
        <v>0</v>
      </c>
      <c r="H26" s="94">
        <f>COUNTIF('261004'!$C$18:$C$47,$C26)+COUNTIF('261004'!$I$18:$I$47,$C26)</f>
        <v>0</v>
      </c>
      <c r="I26" s="94">
        <f>COUNTIF('261005'!$C$18:$C$47,$C26)+COUNTIF('261005'!$I$18:$I$47,$C26)</f>
        <v>0</v>
      </c>
      <c r="J26" s="94">
        <f>COUNTIF('261006'!$C$18:$C$47,$C26)+COUNTIF('261006'!$I$18:$I$47,$C26)</f>
        <v>0</v>
      </c>
      <c r="K26" s="94">
        <f>COUNTIF('261007'!$C$18:$C$47,$C26)+COUNTIF('261007'!$I$18:$I$47,$C26)</f>
        <v>0</v>
      </c>
      <c r="L26" s="94">
        <f>COUNTIF('261008'!$C$18:$C$47,$C26)+COUNTIF('261008'!$I$18:$I$47,$C26)</f>
        <v>0</v>
      </c>
      <c r="M26" s="94">
        <f>COUNTIF('261009'!$C$18:$C$47,$C26)+COUNTIF('261009'!$I$18:$I$47,$C26)</f>
        <v>0</v>
      </c>
      <c r="N26" s="94">
        <f>COUNTIF('261010'!$C$18:$C$47,$C26)+COUNTIF('261010'!$I$18:$I$47,$C26)</f>
        <v>0</v>
      </c>
      <c r="O26" s="94">
        <f>COUNTIF('261011'!$C$18:$C$47,$C26)+COUNTIF('261011'!$I$18:$I$47,$C26)</f>
        <v>0</v>
      </c>
      <c r="P26" s="94">
        <f>COUNTIF('261012'!$C$18:$C$47,$C26)+COUNTIF('261012'!$I$18:$I$47,$C26)</f>
        <v>0</v>
      </c>
      <c r="Q26" s="94">
        <f>COUNTIF('261013'!$C$18:$C$47,$C26)+COUNTIF('261013'!$I$18:$I$47,$C26)</f>
        <v>0</v>
      </c>
      <c r="R26" s="94">
        <f>COUNTIF('261014'!$C$18:$C$47,$C26)+COUNTIF('261014'!$I$18:$I$47,$C26)</f>
        <v>0</v>
      </c>
      <c r="S26" s="94">
        <f>COUNTIF('261015'!$C$18:$C$47,$C26)+COUNTIF('261015'!$I$18:$I$47,$C26)</f>
        <v>0</v>
      </c>
      <c r="T26" s="94">
        <f>COUNTIF('261016'!$C$18:$C$47,$C26)+COUNTIF('261016'!$I$18:$I$47,$C26)</f>
        <v>0</v>
      </c>
      <c r="U26" s="94">
        <f>COUNTIF('261017'!$C$18:$C$47,$C26)+COUNTIF('261017'!$I$18:$I$47,$C26)</f>
        <v>0</v>
      </c>
      <c r="V26" s="94">
        <f>COUNTIF('261018'!$C$18:$C$47,$C26)+COUNTIF('261018'!$I$18:$I$47,$C26)</f>
        <v>0</v>
      </c>
      <c r="W26" s="94">
        <f>COUNTIF('261019'!$C$18:$C$47,$C26)+COUNTIF('261019'!$I$18:$I$47,$C26)</f>
        <v>0</v>
      </c>
      <c r="X26" s="94">
        <f>COUNTIF('261020'!$C$18:$C$47,$C26)+COUNTIF('261020'!$I$18:$I$47,$C26)</f>
        <v>0</v>
      </c>
      <c r="Y26" s="94">
        <f>COUNTIF('261021'!$C$18:$C$47,$C26)+COUNTIF('261021'!$I$18:$I$47,$C26)</f>
        <v>0</v>
      </c>
      <c r="Z26" s="94">
        <f>COUNTIF('261022'!$C$18:$C$47,$C26)+COUNTIF('261022'!$I$18:$I$47,$C26)</f>
        <v>0</v>
      </c>
      <c r="AA26" s="94">
        <f>COUNTIF('261023'!$C$18:$C$47,$C26)+COUNTIF('261023'!$I$18:$I$47,$C26)</f>
        <v>0</v>
      </c>
      <c r="AB26" s="94">
        <f>COUNTIF('261024'!$C$18:$C$47,$C26)+COUNTIF('261024'!$I$18:$I$47,$C26)</f>
        <v>0</v>
      </c>
      <c r="AC26" s="94">
        <f>COUNTIF('261025'!$C$18:$C$47,$C26)+COUNTIF('261025'!$I$18:$I$47,$C26)</f>
        <v>0</v>
      </c>
      <c r="AD26" s="94">
        <f>COUNTIF('261026'!$C$18:$C$47,$C26)+COUNTIF('261026'!$I$18:$I$47,$C26)</f>
        <v>0</v>
      </c>
      <c r="AE26" s="94">
        <f>COUNTIF('261027'!$C$18:$C$47,$C26)+COUNTIF('261027'!$I$18:$I$47,$C26)</f>
        <v>0</v>
      </c>
      <c r="AF26" s="94">
        <f>COUNTIF('261028'!$C$18:$C$47,$C26)+COUNTIF('261028'!$I$18:$I$47,$C26)</f>
        <v>0</v>
      </c>
      <c r="AG26" s="94">
        <f>COUNTIF('261029'!$C$18:$C$47,$C26)+COUNTIF('261029'!$I$18:$I$47,$C26)</f>
        <v>0</v>
      </c>
      <c r="AH26" s="94">
        <f>COUNTIF('261030'!$C$18:$C$47,$C26)+COUNTIF('261030'!$I$18:$I$47,$C26)</f>
        <v>0</v>
      </c>
      <c r="AI26" s="94">
        <f>COUNTIF('261031'!$C$18:$C$47,$C26)+COUNTIF('261031'!$I$18:$I$47,$C26)</f>
        <v>0</v>
      </c>
      <c r="AJ26" s="108">
        <f t="shared" si="1"/>
        <v>0</v>
      </c>
    </row>
    <row r="27" spans="2:39" ht="20.100000000000001" customHeight="1" x14ac:dyDescent="0.3">
      <c r="B27" s="36">
        <f t="shared" si="2"/>
        <v>23</v>
      </c>
      <c r="C27" s="56"/>
      <c r="D27" s="56"/>
      <c r="E27" s="94">
        <f>COUNTIF('261001'!$C$18:$C$47,$C27)+COUNTIF('261001'!$I$18:$I$47,$C27)</f>
        <v>0</v>
      </c>
      <c r="F27" s="94">
        <f>COUNTIF('261002'!$C$18:$C$47,$C27)+COUNTIF('261002'!$I$18:$I$47,$C27)</f>
        <v>0</v>
      </c>
      <c r="G27" s="94">
        <f>COUNTIF('261003'!$C$18:$C$47,$C27)+COUNTIF('261003'!$I$18:$I$47,$C27)</f>
        <v>0</v>
      </c>
      <c r="H27" s="94">
        <f>COUNTIF('261004'!$C$18:$C$47,$C27)+COUNTIF('261004'!$I$18:$I$47,$C27)</f>
        <v>0</v>
      </c>
      <c r="I27" s="94">
        <f>COUNTIF('261005'!$C$18:$C$47,$C27)+COUNTIF('261005'!$I$18:$I$47,$C27)</f>
        <v>0</v>
      </c>
      <c r="J27" s="94">
        <f>COUNTIF('261006'!$C$18:$C$47,$C27)+COUNTIF('261006'!$I$18:$I$47,$C27)</f>
        <v>0</v>
      </c>
      <c r="K27" s="94">
        <f>COUNTIF('261007'!$C$18:$C$47,$C27)+COUNTIF('261007'!$I$18:$I$47,$C27)</f>
        <v>0</v>
      </c>
      <c r="L27" s="94">
        <f>COUNTIF('261008'!$C$18:$C$47,$C27)+COUNTIF('261008'!$I$18:$I$47,$C27)</f>
        <v>0</v>
      </c>
      <c r="M27" s="94">
        <f>COUNTIF('261009'!$C$18:$C$47,$C27)+COUNTIF('261009'!$I$18:$I$47,$C27)</f>
        <v>0</v>
      </c>
      <c r="N27" s="94">
        <f>COUNTIF('261010'!$C$18:$C$47,$C27)+COUNTIF('261010'!$I$18:$I$47,$C27)</f>
        <v>0</v>
      </c>
      <c r="O27" s="94">
        <f>COUNTIF('261011'!$C$18:$C$47,$C27)+COUNTIF('261011'!$I$18:$I$47,$C27)</f>
        <v>0</v>
      </c>
      <c r="P27" s="94">
        <f>COUNTIF('261012'!$C$18:$C$47,$C27)+COUNTIF('261012'!$I$18:$I$47,$C27)</f>
        <v>0</v>
      </c>
      <c r="Q27" s="94">
        <f>COUNTIF('261013'!$C$18:$C$47,$C27)+COUNTIF('261013'!$I$18:$I$47,$C27)</f>
        <v>0</v>
      </c>
      <c r="R27" s="94">
        <f>COUNTIF('261014'!$C$18:$C$47,$C27)+COUNTIF('261014'!$I$18:$I$47,$C27)</f>
        <v>0</v>
      </c>
      <c r="S27" s="94">
        <f>COUNTIF('261015'!$C$18:$C$47,$C27)+COUNTIF('261015'!$I$18:$I$47,$C27)</f>
        <v>0</v>
      </c>
      <c r="T27" s="94">
        <f>COUNTIF('261016'!$C$18:$C$47,$C27)+COUNTIF('261016'!$I$18:$I$47,$C27)</f>
        <v>0</v>
      </c>
      <c r="U27" s="94">
        <f>COUNTIF('261017'!$C$18:$C$47,$C27)+COUNTIF('261017'!$I$18:$I$47,$C27)</f>
        <v>0</v>
      </c>
      <c r="V27" s="94">
        <f>COUNTIF('261018'!$C$18:$C$47,$C27)+COUNTIF('261018'!$I$18:$I$47,$C27)</f>
        <v>0</v>
      </c>
      <c r="W27" s="94">
        <f>COUNTIF('261019'!$C$18:$C$47,$C27)+COUNTIF('261019'!$I$18:$I$47,$C27)</f>
        <v>0</v>
      </c>
      <c r="X27" s="94">
        <f>COUNTIF('261020'!$C$18:$C$47,$C27)+COUNTIF('261020'!$I$18:$I$47,$C27)</f>
        <v>0</v>
      </c>
      <c r="Y27" s="94">
        <f>COUNTIF('261021'!$C$18:$C$47,$C27)+COUNTIF('261021'!$I$18:$I$47,$C27)</f>
        <v>0</v>
      </c>
      <c r="Z27" s="94">
        <f>COUNTIF('261022'!$C$18:$C$47,$C27)+COUNTIF('261022'!$I$18:$I$47,$C27)</f>
        <v>0</v>
      </c>
      <c r="AA27" s="94">
        <f>COUNTIF('261023'!$C$18:$C$47,$C27)+COUNTIF('261023'!$I$18:$I$47,$C27)</f>
        <v>0</v>
      </c>
      <c r="AB27" s="94">
        <f>COUNTIF('261024'!$C$18:$C$47,$C27)+COUNTIF('261024'!$I$18:$I$47,$C27)</f>
        <v>0</v>
      </c>
      <c r="AC27" s="94">
        <f>COUNTIF('261025'!$C$18:$C$47,$C27)+COUNTIF('261025'!$I$18:$I$47,$C27)</f>
        <v>0</v>
      </c>
      <c r="AD27" s="94">
        <f>COUNTIF('261026'!$C$18:$C$47,$C27)+COUNTIF('261026'!$I$18:$I$47,$C27)</f>
        <v>0</v>
      </c>
      <c r="AE27" s="94">
        <f>COUNTIF('261027'!$C$18:$C$47,$C27)+COUNTIF('261027'!$I$18:$I$47,$C27)</f>
        <v>0</v>
      </c>
      <c r="AF27" s="94">
        <f>COUNTIF('261028'!$C$18:$C$47,$C27)+COUNTIF('261028'!$I$18:$I$47,$C27)</f>
        <v>0</v>
      </c>
      <c r="AG27" s="94">
        <f>COUNTIF('261029'!$C$18:$C$47,$C27)+COUNTIF('261029'!$I$18:$I$47,$C27)</f>
        <v>0</v>
      </c>
      <c r="AH27" s="94">
        <f>COUNTIF('261030'!$C$18:$C$47,$C27)+COUNTIF('261030'!$I$18:$I$47,$C27)</f>
        <v>0</v>
      </c>
      <c r="AI27" s="94">
        <f>COUNTIF('261031'!$C$18:$C$47,$C27)+COUNTIF('261031'!$I$18:$I$47,$C27)</f>
        <v>0</v>
      </c>
      <c r="AJ27" s="108">
        <f t="shared" si="1"/>
        <v>0</v>
      </c>
    </row>
    <row r="28" spans="2:39" ht="20.100000000000001" customHeight="1" x14ac:dyDescent="0.3">
      <c r="B28" s="36">
        <f t="shared" si="2"/>
        <v>24</v>
      </c>
      <c r="C28" s="56"/>
      <c r="D28" s="56"/>
      <c r="E28" s="94">
        <f>COUNTIF('261001'!$C$18:$C$47,$C28)+COUNTIF('261001'!$I$18:$I$47,$C28)</f>
        <v>0</v>
      </c>
      <c r="F28" s="94">
        <f>COUNTIF('261002'!$C$18:$C$47,$C28)+COUNTIF('261002'!$I$18:$I$47,$C28)</f>
        <v>0</v>
      </c>
      <c r="G28" s="94">
        <f>COUNTIF('261003'!$C$18:$C$47,$C28)+COUNTIF('261003'!$I$18:$I$47,$C28)</f>
        <v>0</v>
      </c>
      <c r="H28" s="94">
        <f>COUNTIF('261004'!$C$18:$C$47,$C28)+COUNTIF('261004'!$I$18:$I$47,$C28)</f>
        <v>0</v>
      </c>
      <c r="I28" s="94">
        <f>COUNTIF('261005'!$C$18:$C$47,$C28)+COUNTIF('261005'!$I$18:$I$47,$C28)</f>
        <v>0</v>
      </c>
      <c r="J28" s="94">
        <f>COUNTIF('261006'!$C$18:$C$47,$C28)+COUNTIF('261006'!$I$18:$I$47,$C28)</f>
        <v>0</v>
      </c>
      <c r="K28" s="94">
        <f>COUNTIF('261007'!$C$18:$C$47,$C28)+COUNTIF('261007'!$I$18:$I$47,$C28)</f>
        <v>0</v>
      </c>
      <c r="L28" s="94">
        <f>COUNTIF('261008'!$C$18:$C$47,$C28)+COUNTIF('261008'!$I$18:$I$47,$C28)</f>
        <v>0</v>
      </c>
      <c r="M28" s="94">
        <f>COUNTIF('261009'!$C$18:$C$47,$C28)+COUNTIF('261009'!$I$18:$I$47,$C28)</f>
        <v>0</v>
      </c>
      <c r="N28" s="94">
        <f>COUNTIF('261010'!$C$18:$C$47,$C28)+COUNTIF('261010'!$I$18:$I$47,$C28)</f>
        <v>0</v>
      </c>
      <c r="O28" s="94">
        <f>COUNTIF('261011'!$C$18:$C$47,$C28)+COUNTIF('261011'!$I$18:$I$47,$C28)</f>
        <v>0</v>
      </c>
      <c r="P28" s="94">
        <f>COUNTIF('261012'!$C$18:$C$47,$C28)+COUNTIF('261012'!$I$18:$I$47,$C28)</f>
        <v>0</v>
      </c>
      <c r="Q28" s="94">
        <f>COUNTIF('261013'!$C$18:$C$47,$C28)+COUNTIF('261013'!$I$18:$I$47,$C28)</f>
        <v>0</v>
      </c>
      <c r="R28" s="94">
        <f>COUNTIF('261014'!$C$18:$C$47,$C28)+COUNTIF('261014'!$I$18:$I$47,$C28)</f>
        <v>0</v>
      </c>
      <c r="S28" s="94">
        <f>COUNTIF('261015'!$C$18:$C$47,$C28)+COUNTIF('261015'!$I$18:$I$47,$C28)</f>
        <v>0</v>
      </c>
      <c r="T28" s="94">
        <f>COUNTIF('261016'!$C$18:$C$47,$C28)+COUNTIF('261016'!$I$18:$I$47,$C28)</f>
        <v>0</v>
      </c>
      <c r="U28" s="94">
        <f>COUNTIF('261017'!$C$18:$C$47,$C28)+COUNTIF('261017'!$I$18:$I$47,$C28)</f>
        <v>0</v>
      </c>
      <c r="V28" s="94">
        <f>COUNTIF('261018'!$C$18:$C$47,$C28)+COUNTIF('261018'!$I$18:$I$47,$C28)</f>
        <v>0</v>
      </c>
      <c r="W28" s="94">
        <f>COUNTIF('261019'!$C$18:$C$47,$C28)+COUNTIF('261019'!$I$18:$I$47,$C28)</f>
        <v>0</v>
      </c>
      <c r="X28" s="94">
        <f>COUNTIF('261020'!$C$18:$C$47,$C28)+COUNTIF('261020'!$I$18:$I$47,$C28)</f>
        <v>0</v>
      </c>
      <c r="Y28" s="94">
        <f>COUNTIF('261021'!$C$18:$C$47,$C28)+COUNTIF('261021'!$I$18:$I$47,$C28)</f>
        <v>0</v>
      </c>
      <c r="Z28" s="94">
        <f>COUNTIF('261022'!$C$18:$C$47,$C28)+COUNTIF('261022'!$I$18:$I$47,$C28)</f>
        <v>0</v>
      </c>
      <c r="AA28" s="94">
        <f>COUNTIF('261023'!$C$18:$C$47,$C28)+COUNTIF('261023'!$I$18:$I$47,$C28)</f>
        <v>0</v>
      </c>
      <c r="AB28" s="94">
        <f>COUNTIF('261024'!$C$18:$C$47,$C28)+COUNTIF('261024'!$I$18:$I$47,$C28)</f>
        <v>0</v>
      </c>
      <c r="AC28" s="94">
        <f>COUNTIF('261025'!$C$18:$C$47,$C28)+COUNTIF('261025'!$I$18:$I$47,$C28)</f>
        <v>0</v>
      </c>
      <c r="AD28" s="94">
        <f>COUNTIF('261026'!$C$18:$C$47,$C28)+COUNTIF('261026'!$I$18:$I$47,$C28)</f>
        <v>0</v>
      </c>
      <c r="AE28" s="94">
        <f>COUNTIF('261027'!$C$18:$C$47,$C28)+COUNTIF('261027'!$I$18:$I$47,$C28)</f>
        <v>0</v>
      </c>
      <c r="AF28" s="94">
        <f>COUNTIF('261028'!$C$18:$C$47,$C28)+COUNTIF('261028'!$I$18:$I$47,$C28)</f>
        <v>0</v>
      </c>
      <c r="AG28" s="94">
        <f>COUNTIF('261029'!$C$18:$C$47,$C28)+COUNTIF('261029'!$I$18:$I$47,$C28)</f>
        <v>0</v>
      </c>
      <c r="AH28" s="94">
        <f>COUNTIF('261030'!$C$18:$C$47,$C28)+COUNTIF('261030'!$I$18:$I$47,$C28)</f>
        <v>0</v>
      </c>
      <c r="AI28" s="94">
        <f>COUNTIF('261031'!$C$18:$C$47,$C28)+COUNTIF('261031'!$I$18:$I$47,$C28)</f>
        <v>0</v>
      </c>
      <c r="AJ28" s="108">
        <f t="shared" si="1"/>
        <v>0</v>
      </c>
    </row>
    <row r="29" spans="2:39" ht="20.100000000000001" customHeight="1" x14ac:dyDescent="0.3">
      <c r="B29" s="36">
        <f t="shared" si="2"/>
        <v>25</v>
      </c>
      <c r="C29" s="56"/>
      <c r="D29" s="56"/>
      <c r="E29" s="94">
        <f>COUNTIF('261001'!$C$18:$C$47,$C29)+COUNTIF('261001'!$I$18:$I$47,$C29)</f>
        <v>0</v>
      </c>
      <c r="F29" s="94">
        <f>COUNTIF('261002'!$C$18:$C$47,$C29)+COUNTIF('261002'!$I$18:$I$47,$C29)</f>
        <v>0</v>
      </c>
      <c r="G29" s="94">
        <f>COUNTIF('261003'!$C$18:$C$47,$C29)+COUNTIF('261003'!$I$18:$I$47,$C29)</f>
        <v>0</v>
      </c>
      <c r="H29" s="94">
        <f>COUNTIF('261004'!$C$18:$C$47,$C29)+COUNTIF('261004'!$I$18:$I$47,$C29)</f>
        <v>0</v>
      </c>
      <c r="I29" s="94">
        <f>COUNTIF('261005'!$C$18:$C$47,$C29)+COUNTIF('261005'!$I$18:$I$47,$C29)</f>
        <v>0</v>
      </c>
      <c r="J29" s="94">
        <f>COUNTIF('261006'!$C$18:$C$47,$C29)+COUNTIF('261006'!$I$18:$I$47,$C29)</f>
        <v>0</v>
      </c>
      <c r="K29" s="94">
        <f>COUNTIF('261007'!$C$18:$C$47,$C29)+COUNTIF('261007'!$I$18:$I$47,$C29)</f>
        <v>0</v>
      </c>
      <c r="L29" s="94">
        <f>COUNTIF('261008'!$C$18:$C$47,$C29)+COUNTIF('261008'!$I$18:$I$47,$C29)</f>
        <v>0</v>
      </c>
      <c r="M29" s="94">
        <f>COUNTIF('261009'!$C$18:$C$47,$C29)+COUNTIF('261009'!$I$18:$I$47,$C29)</f>
        <v>0</v>
      </c>
      <c r="N29" s="94">
        <f>COUNTIF('261010'!$C$18:$C$47,$C29)+COUNTIF('261010'!$I$18:$I$47,$C29)</f>
        <v>0</v>
      </c>
      <c r="O29" s="94">
        <f>COUNTIF('261011'!$C$18:$C$47,$C29)+COUNTIF('261011'!$I$18:$I$47,$C29)</f>
        <v>0</v>
      </c>
      <c r="P29" s="94">
        <f>COUNTIF('261012'!$C$18:$C$47,$C29)+COUNTIF('261012'!$I$18:$I$47,$C29)</f>
        <v>0</v>
      </c>
      <c r="Q29" s="94">
        <f>COUNTIF('261013'!$C$18:$C$47,$C29)+COUNTIF('261013'!$I$18:$I$47,$C29)</f>
        <v>0</v>
      </c>
      <c r="R29" s="94">
        <f>COUNTIF('261014'!$C$18:$C$47,$C29)+COUNTIF('261014'!$I$18:$I$47,$C29)</f>
        <v>0</v>
      </c>
      <c r="S29" s="94">
        <f>COUNTIF('261015'!$C$18:$C$47,$C29)+COUNTIF('261015'!$I$18:$I$47,$C29)</f>
        <v>0</v>
      </c>
      <c r="T29" s="94">
        <f>COUNTIF('261016'!$C$18:$C$47,$C29)+COUNTIF('261016'!$I$18:$I$47,$C29)</f>
        <v>0</v>
      </c>
      <c r="U29" s="94">
        <f>COUNTIF('261017'!$C$18:$C$47,$C29)+COUNTIF('261017'!$I$18:$I$47,$C29)</f>
        <v>0</v>
      </c>
      <c r="V29" s="94">
        <f>COUNTIF('261018'!$C$18:$C$47,$C29)+COUNTIF('261018'!$I$18:$I$47,$C29)</f>
        <v>0</v>
      </c>
      <c r="W29" s="94">
        <f>COUNTIF('261019'!$C$18:$C$47,$C29)+COUNTIF('261019'!$I$18:$I$47,$C29)</f>
        <v>0</v>
      </c>
      <c r="X29" s="94">
        <f>COUNTIF('261020'!$C$18:$C$47,$C29)+COUNTIF('261020'!$I$18:$I$47,$C29)</f>
        <v>0</v>
      </c>
      <c r="Y29" s="94">
        <f>COUNTIF('261021'!$C$18:$C$47,$C29)+COUNTIF('261021'!$I$18:$I$47,$C29)</f>
        <v>0</v>
      </c>
      <c r="Z29" s="94">
        <f>COUNTIF('261022'!$C$18:$C$47,$C29)+COUNTIF('261022'!$I$18:$I$47,$C29)</f>
        <v>0</v>
      </c>
      <c r="AA29" s="94">
        <f>COUNTIF('261023'!$C$18:$C$47,$C29)+COUNTIF('261023'!$I$18:$I$47,$C29)</f>
        <v>0</v>
      </c>
      <c r="AB29" s="94">
        <f>COUNTIF('261024'!$C$18:$C$47,$C29)+COUNTIF('261024'!$I$18:$I$47,$C29)</f>
        <v>0</v>
      </c>
      <c r="AC29" s="94">
        <f>COUNTIF('261025'!$C$18:$C$47,$C29)+COUNTIF('261025'!$I$18:$I$47,$C29)</f>
        <v>0</v>
      </c>
      <c r="AD29" s="94">
        <f>COUNTIF('261026'!$C$18:$C$47,$C29)+COUNTIF('261026'!$I$18:$I$47,$C29)</f>
        <v>0</v>
      </c>
      <c r="AE29" s="94">
        <f>COUNTIF('261027'!$C$18:$C$47,$C29)+COUNTIF('261027'!$I$18:$I$47,$C29)</f>
        <v>0</v>
      </c>
      <c r="AF29" s="94">
        <f>COUNTIF('261028'!$C$18:$C$47,$C29)+COUNTIF('261028'!$I$18:$I$47,$C29)</f>
        <v>0</v>
      </c>
      <c r="AG29" s="94">
        <f>COUNTIF('261029'!$C$18:$C$47,$C29)+COUNTIF('261029'!$I$18:$I$47,$C29)</f>
        <v>0</v>
      </c>
      <c r="AH29" s="94">
        <f>COUNTIF('261030'!$C$18:$C$47,$C29)+COUNTIF('261030'!$I$18:$I$47,$C29)</f>
        <v>0</v>
      </c>
      <c r="AI29" s="94">
        <f>COUNTIF('261031'!$C$18:$C$47,$C29)+COUNTIF('261031'!$I$18:$I$47,$C29)</f>
        <v>0</v>
      </c>
      <c r="AJ29" s="108">
        <f t="shared" si="1"/>
        <v>0</v>
      </c>
    </row>
    <row r="30" spans="2:39" ht="20.100000000000001" customHeight="1" x14ac:dyDescent="0.3">
      <c r="B30" s="36">
        <f t="shared" si="2"/>
        <v>26</v>
      </c>
      <c r="C30" s="56"/>
      <c r="D30" s="56"/>
      <c r="E30" s="94">
        <f>COUNTIF('261001'!$C$18:$C$47,$C30)+COUNTIF('261001'!$I$18:$I$47,$C30)</f>
        <v>0</v>
      </c>
      <c r="F30" s="94">
        <f>COUNTIF('261002'!$C$18:$C$47,$C30)+COUNTIF('261002'!$I$18:$I$47,$C30)</f>
        <v>0</v>
      </c>
      <c r="G30" s="94">
        <f>COUNTIF('261003'!$C$18:$C$47,$C30)+COUNTIF('261003'!$I$18:$I$47,$C30)</f>
        <v>0</v>
      </c>
      <c r="H30" s="94">
        <f>COUNTIF('261004'!$C$18:$C$47,$C30)+COUNTIF('261004'!$I$18:$I$47,$C30)</f>
        <v>0</v>
      </c>
      <c r="I30" s="94">
        <f>COUNTIF('261005'!$C$18:$C$47,$C30)+COUNTIF('261005'!$I$18:$I$47,$C30)</f>
        <v>0</v>
      </c>
      <c r="J30" s="94">
        <f>COUNTIF('261006'!$C$18:$C$47,$C30)+COUNTIF('261006'!$I$18:$I$47,$C30)</f>
        <v>0</v>
      </c>
      <c r="K30" s="94">
        <f>COUNTIF('261007'!$C$18:$C$47,$C30)+COUNTIF('261007'!$I$18:$I$47,$C30)</f>
        <v>0</v>
      </c>
      <c r="L30" s="94">
        <f>COUNTIF('261008'!$C$18:$C$47,$C30)+COUNTIF('261008'!$I$18:$I$47,$C30)</f>
        <v>0</v>
      </c>
      <c r="M30" s="94">
        <f>COUNTIF('261009'!$C$18:$C$47,$C30)+COUNTIF('261009'!$I$18:$I$47,$C30)</f>
        <v>0</v>
      </c>
      <c r="N30" s="94">
        <f>COUNTIF('261010'!$C$18:$C$47,$C30)+COUNTIF('261010'!$I$18:$I$47,$C30)</f>
        <v>0</v>
      </c>
      <c r="O30" s="94">
        <f>COUNTIF('261011'!$C$18:$C$47,$C30)+COUNTIF('261011'!$I$18:$I$47,$C30)</f>
        <v>0</v>
      </c>
      <c r="P30" s="94">
        <f>COUNTIF('261012'!$C$18:$C$47,$C30)+COUNTIF('261012'!$I$18:$I$47,$C30)</f>
        <v>0</v>
      </c>
      <c r="Q30" s="94">
        <f>COUNTIF('261013'!$C$18:$C$47,$C30)+COUNTIF('261013'!$I$18:$I$47,$C30)</f>
        <v>0</v>
      </c>
      <c r="R30" s="94">
        <f>COUNTIF('261014'!$C$18:$C$47,$C30)+COUNTIF('261014'!$I$18:$I$47,$C30)</f>
        <v>0</v>
      </c>
      <c r="S30" s="94">
        <f>COUNTIF('261015'!$C$18:$C$47,$C30)+COUNTIF('261015'!$I$18:$I$47,$C30)</f>
        <v>0</v>
      </c>
      <c r="T30" s="94">
        <f>COUNTIF('261016'!$C$18:$C$47,$C30)+COUNTIF('261016'!$I$18:$I$47,$C30)</f>
        <v>0</v>
      </c>
      <c r="U30" s="94">
        <f>COUNTIF('261017'!$C$18:$C$47,$C30)+COUNTIF('261017'!$I$18:$I$47,$C30)</f>
        <v>0</v>
      </c>
      <c r="V30" s="94">
        <f>COUNTIF('261018'!$C$18:$C$47,$C30)+COUNTIF('261018'!$I$18:$I$47,$C30)</f>
        <v>0</v>
      </c>
      <c r="W30" s="94">
        <f>COUNTIF('261019'!$C$18:$C$47,$C30)+COUNTIF('261019'!$I$18:$I$47,$C30)</f>
        <v>0</v>
      </c>
      <c r="X30" s="94">
        <f>COUNTIF('261020'!$C$18:$C$47,$C30)+COUNTIF('261020'!$I$18:$I$47,$C30)</f>
        <v>0</v>
      </c>
      <c r="Y30" s="94">
        <f>COUNTIF('261021'!$C$18:$C$47,$C30)+COUNTIF('261021'!$I$18:$I$47,$C30)</f>
        <v>0</v>
      </c>
      <c r="Z30" s="94">
        <f>COUNTIF('261022'!$C$18:$C$47,$C30)+COUNTIF('261022'!$I$18:$I$47,$C30)</f>
        <v>0</v>
      </c>
      <c r="AA30" s="94">
        <f>COUNTIF('261023'!$C$18:$C$47,$C30)+COUNTIF('261023'!$I$18:$I$47,$C30)</f>
        <v>0</v>
      </c>
      <c r="AB30" s="94">
        <f>COUNTIF('261024'!$C$18:$C$47,$C30)+COUNTIF('261024'!$I$18:$I$47,$C30)</f>
        <v>0</v>
      </c>
      <c r="AC30" s="94">
        <f>COUNTIF('261025'!$C$18:$C$47,$C30)+COUNTIF('261025'!$I$18:$I$47,$C30)</f>
        <v>0</v>
      </c>
      <c r="AD30" s="94">
        <f>COUNTIF('261026'!$C$18:$C$47,$C30)+COUNTIF('261026'!$I$18:$I$47,$C30)</f>
        <v>0</v>
      </c>
      <c r="AE30" s="94">
        <f>COUNTIF('261027'!$C$18:$C$47,$C30)+COUNTIF('261027'!$I$18:$I$47,$C30)</f>
        <v>0</v>
      </c>
      <c r="AF30" s="94">
        <f>COUNTIF('261028'!$C$18:$C$47,$C30)+COUNTIF('261028'!$I$18:$I$47,$C30)</f>
        <v>0</v>
      </c>
      <c r="AG30" s="94">
        <f>COUNTIF('261029'!$C$18:$C$47,$C30)+COUNTIF('261029'!$I$18:$I$47,$C30)</f>
        <v>0</v>
      </c>
      <c r="AH30" s="94">
        <f>COUNTIF('261030'!$C$18:$C$47,$C30)+COUNTIF('261030'!$I$18:$I$47,$C30)</f>
        <v>0</v>
      </c>
      <c r="AI30" s="94">
        <f>COUNTIF('261031'!$C$18:$C$47,$C30)+COUNTIF('261031'!$I$18:$I$47,$C30)</f>
        <v>0</v>
      </c>
      <c r="AJ30" s="108">
        <f t="shared" si="1"/>
        <v>0</v>
      </c>
    </row>
    <row r="31" spans="2:39" ht="20.100000000000001" customHeight="1" x14ac:dyDescent="0.3">
      <c r="B31" s="36">
        <f t="shared" si="2"/>
        <v>27</v>
      </c>
      <c r="C31" s="56"/>
      <c r="D31" s="56"/>
      <c r="E31" s="94">
        <f>COUNTIF('261001'!$C$18:$C$47,$C31)+COUNTIF('261001'!$I$18:$I$47,$C31)</f>
        <v>0</v>
      </c>
      <c r="F31" s="94">
        <f>COUNTIF('261002'!$C$18:$C$47,$C31)+COUNTIF('261002'!$I$18:$I$47,$C31)</f>
        <v>0</v>
      </c>
      <c r="G31" s="94">
        <f>COUNTIF('261003'!$C$18:$C$47,$C31)+COUNTIF('261003'!$I$18:$I$47,$C31)</f>
        <v>0</v>
      </c>
      <c r="H31" s="94">
        <f>COUNTIF('261004'!$C$18:$C$47,$C31)+COUNTIF('261004'!$I$18:$I$47,$C31)</f>
        <v>0</v>
      </c>
      <c r="I31" s="94">
        <f>COUNTIF('261005'!$C$18:$C$47,$C31)+COUNTIF('261005'!$I$18:$I$47,$C31)</f>
        <v>0</v>
      </c>
      <c r="J31" s="94">
        <f>COUNTIF('261006'!$C$18:$C$47,$C31)+COUNTIF('261006'!$I$18:$I$47,$C31)</f>
        <v>0</v>
      </c>
      <c r="K31" s="94">
        <f>COUNTIF('261007'!$C$18:$C$47,$C31)+COUNTIF('261007'!$I$18:$I$47,$C31)</f>
        <v>0</v>
      </c>
      <c r="L31" s="94">
        <f>COUNTIF('261008'!$C$18:$C$47,$C31)+COUNTIF('261008'!$I$18:$I$47,$C31)</f>
        <v>0</v>
      </c>
      <c r="M31" s="94">
        <f>COUNTIF('261009'!$C$18:$C$47,$C31)+COUNTIF('261009'!$I$18:$I$47,$C31)</f>
        <v>0</v>
      </c>
      <c r="N31" s="94">
        <f>COUNTIF('261010'!$C$18:$C$47,$C31)+COUNTIF('261010'!$I$18:$I$47,$C31)</f>
        <v>0</v>
      </c>
      <c r="O31" s="94">
        <f>COUNTIF('261011'!$C$18:$C$47,$C31)+COUNTIF('261011'!$I$18:$I$47,$C31)</f>
        <v>0</v>
      </c>
      <c r="P31" s="94">
        <f>COUNTIF('261012'!$C$18:$C$47,$C31)+COUNTIF('261012'!$I$18:$I$47,$C31)</f>
        <v>0</v>
      </c>
      <c r="Q31" s="94">
        <f>COUNTIF('261013'!$C$18:$C$47,$C31)+COUNTIF('261013'!$I$18:$I$47,$C31)</f>
        <v>0</v>
      </c>
      <c r="R31" s="94">
        <f>COUNTIF('261014'!$C$18:$C$47,$C31)+COUNTIF('261014'!$I$18:$I$47,$C31)</f>
        <v>0</v>
      </c>
      <c r="S31" s="94">
        <f>COUNTIF('261015'!$C$18:$C$47,$C31)+COUNTIF('261015'!$I$18:$I$47,$C31)</f>
        <v>0</v>
      </c>
      <c r="T31" s="94">
        <f>COUNTIF('261016'!$C$18:$C$47,$C31)+COUNTIF('261016'!$I$18:$I$47,$C31)</f>
        <v>0</v>
      </c>
      <c r="U31" s="94">
        <f>COUNTIF('261017'!$C$18:$C$47,$C31)+COUNTIF('261017'!$I$18:$I$47,$C31)</f>
        <v>0</v>
      </c>
      <c r="V31" s="94">
        <f>COUNTIF('261018'!$C$18:$C$47,$C31)+COUNTIF('261018'!$I$18:$I$47,$C31)</f>
        <v>0</v>
      </c>
      <c r="W31" s="94">
        <f>COUNTIF('261019'!$C$18:$C$47,$C31)+COUNTIF('261019'!$I$18:$I$47,$C31)</f>
        <v>0</v>
      </c>
      <c r="X31" s="94">
        <f>COUNTIF('261020'!$C$18:$C$47,$C31)+COUNTIF('261020'!$I$18:$I$47,$C31)</f>
        <v>0</v>
      </c>
      <c r="Y31" s="94">
        <f>COUNTIF('261021'!$C$18:$C$47,$C31)+COUNTIF('261021'!$I$18:$I$47,$C31)</f>
        <v>0</v>
      </c>
      <c r="Z31" s="94">
        <f>COUNTIF('261022'!$C$18:$C$47,$C31)+COUNTIF('261022'!$I$18:$I$47,$C31)</f>
        <v>0</v>
      </c>
      <c r="AA31" s="94">
        <f>COUNTIF('261023'!$C$18:$C$47,$C31)+COUNTIF('261023'!$I$18:$I$47,$C31)</f>
        <v>0</v>
      </c>
      <c r="AB31" s="94">
        <f>COUNTIF('261024'!$C$18:$C$47,$C31)+COUNTIF('261024'!$I$18:$I$47,$C31)</f>
        <v>0</v>
      </c>
      <c r="AC31" s="94">
        <f>COUNTIF('261025'!$C$18:$C$47,$C31)+COUNTIF('261025'!$I$18:$I$47,$C31)</f>
        <v>0</v>
      </c>
      <c r="AD31" s="94">
        <f>COUNTIF('261026'!$C$18:$C$47,$C31)+COUNTIF('261026'!$I$18:$I$47,$C31)</f>
        <v>0</v>
      </c>
      <c r="AE31" s="94">
        <f>COUNTIF('261027'!$C$18:$C$47,$C31)+COUNTIF('261027'!$I$18:$I$47,$C31)</f>
        <v>0</v>
      </c>
      <c r="AF31" s="94">
        <f>COUNTIF('261028'!$C$18:$C$47,$C31)+COUNTIF('261028'!$I$18:$I$47,$C31)</f>
        <v>0</v>
      </c>
      <c r="AG31" s="94">
        <f>COUNTIF('261029'!$C$18:$C$47,$C31)+COUNTIF('261029'!$I$18:$I$47,$C31)</f>
        <v>0</v>
      </c>
      <c r="AH31" s="94">
        <f>COUNTIF('261030'!$C$18:$C$47,$C31)+COUNTIF('261030'!$I$18:$I$47,$C31)</f>
        <v>0</v>
      </c>
      <c r="AI31" s="94">
        <f>COUNTIF('261031'!$C$18:$C$47,$C31)+COUNTIF('261031'!$I$18:$I$47,$C31)</f>
        <v>0</v>
      </c>
      <c r="AJ31" s="108">
        <f t="shared" si="1"/>
        <v>0</v>
      </c>
      <c r="AL31" s="16"/>
      <c r="AM31" s="16"/>
    </row>
    <row r="32" spans="2:39" ht="20.100000000000001" customHeight="1" x14ac:dyDescent="0.3">
      <c r="B32" s="36">
        <f t="shared" si="2"/>
        <v>28</v>
      </c>
      <c r="C32" s="56"/>
      <c r="D32" s="56"/>
      <c r="E32" s="94">
        <f>COUNTIF('261001'!$C$18:$C$47,$C32)+COUNTIF('261001'!$I$18:$I$47,$C32)</f>
        <v>0</v>
      </c>
      <c r="F32" s="94">
        <f>COUNTIF('261002'!$C$18:$C$47,$C32)+COUNTIF('261002'!$I$18:$I$47,$C32)</f>
        <v>0</v>
      </c>
      <c r="G32" s="94">
        <f>COUNTIF('261003'!$C$18:$C$47,$C32)+COUNTIF('261003'!$I$18:$I$47,$C32)</f>
        <v>0</v>
      </c>
      <c r="H32" s="94">
        <f>COUNTIF('261004'!$C$18:$C$47,$C32)+COUNTIF('261004'!$I$18:$I$47,$C32)</f>
        <v>0</v>
      </c>
      <c r="I32" s="94">
        <f>COUNTIF('261005'!$C$18:$C$47,$C32)+COUNTIF('261005'!$I$18:$I$47,$C32)</f>
        <v>0</v>
      </c>
      <c r="J32" s="94">
        <f>COUNTIF('261006'!$C$18:$C$47,$C32)+COUNTIF('261006'!$I$18:$I$47,$C32)</f>
        <v>0</v>
      </c>
      <c r="K32" s="94">
        <f>COUNTIF('261007'!$C$18:$C$47,$C32)+COUNTIF('261007'!$I$18:$I$47,$C32)</f>
        <v>0</v>
      </c>
      <c r="L32" s="94">
        <f>COUNTIF('261008'!$C$18:$C$47,$C32)+COUNTIF('261008'!$I$18:$I$47,$C32)</f>
        <v>0</v>
      </c>
      <c r="M32" s="94">
        <f>COUNTIF('261009'!$C$18:$C$47,$C32)+COUNTIF('261009'!$I$18:$I$47,$C32)</f>
        <v>0</v>
      </c>
      <c r="N32" s="94">
        <f>COUNTIF('261010'!$C$18:$C$47,$C32)+COUNTIF('261010'!$I$18:$I$47,$C32)</f>
        <v>0</v>
      </c>
      <c r="O32" s="94">
        <f>COUNTIF('261011'!$C$18:$C$47,$C32)+COUNTIF('261011'!$I$18:$I$47,$C32)</f>
        <v>0</v>
      </c>
      <c r="P32" s="94">
        <f>COUNTIF('261012'!$C$18:$C$47,$C32)+COUNTIF('261012'!$I$18:$I$47,$C32)</f>
        <v>0</v>
      </c>
      <c r="Q32" s="94">
        <f>COUNTIF('261013'!$C$18:$C$47,$C32)+COUNTIF('261013'!$I$18:$I$47,$C32)</f>
        <v>0</v>
      </c>
      <c r="R32" s="94">
        <f>COUNTIF('261014'!$C$18:$C$47,$C32)+COUNTIF('261014'!$I$18:$I$47,$C32)</f>
        <v>0</v>
      </c>
      <c r="S32" s="94">
        <f>COUNTIF('261015'!$C$18:$C$47,$C32)+COUNTIF('261015'!$I$18:$I$47,$C32)</f>
        <v>0</v>
      </c>
      <c r="T32" s="94">
        <f>COUNTIF('261016'!$C$18:$C$47,$C32)+COUNTIF('261016'!$I$18:$I$47,$C32)</f>
        <v>0</v>
      </c>
      <c r="U32" s="94">
        <f>COUNTIF('261017'!$C$18:$C$47,$C32)+COUNTIF('261017'!$I$18:$I$47,$C32)</f>
        <v>0</v>
      </c>
      <c r="V32" s="94">
        <f>COUNTIF('261018'!$C$18:$C$47,$C32)+COUNTIF('261018'!$I$18:$I$47,$C32)</f>
        <v>0</v>
      </c>
      <c r="W32" s="94">
        <f>COUNTIF('261019'!$C$18:$C$47,$C32)+COUNTIF('261019'!$I$18:$I$47,$C32)</f>
        <v>0</v>
      </c>
      <c r="X32" s="94">
        <f>COUNTIF('261020'!$C$18:$C$47,$C32)+COUNTIF('261020'!$I$18:$I$47,$C32)</f>
        <v>0</v>
      </c>
      <c r="Y32" s="94">
        <f>COUNTIF('261021'!$C$18:$C$47,$C32)+COUNTIF('261021'!$I$18:$I$47,$C32)</f>
        <v>0</v>
      </c>
      <c r="Z32" s="94">
        <f>COUNTIF('261022'!$C$18:$C$47,$C32)+COUNTIF('261022'!$I$18:$I$47,$C32)</f>
        <v>0</v>
      </c>
      <c r="AA32" s="94">
        <f>COUNTIF('261023'!$C$18:$C$47,$C32)+COUNTIF('261023'!$I$18:$I$47,$C32)</f>
        <v>0</v>
      </c>
      <c r="AB32" s="94">
        <f>COUNTIF('261024'!$C$18:$C$47,$C32)+COUNTIF('261024'!$I$18:$I$47,$C32)</f>
        <v>0</v>
      </c>
      <c r="AC32" s="94">
        <f>COUNTIF('261025'!$C$18:$C$47,$C32)+COUNTIF('261025'!$I$18:$I$47,$C32)</f>
        <v>0</v>
      </c>
      <c r="AD32" s="94">
        <f>COUNTIF('261026'!$C$18:$C$47,$C32)+COUNTIF('261026'!$I$18:$I$47,$C32)</f>
        <v>0</v>
      </c>
      <c r="AE32" s="94">
        <f>COUNTIF('261027'!$C$18:$C$47,$C32)+COUNTIF('261027'!$I$18:$I$47,$C32)</f>
        <v>0</v>
      </c>
      <c r="AF32" s="94">
        <f>COUNTIF('261028'!$C$18:$C$47,$C32)+COUNTIF('261028'!$I$18:$I$47,$C32)</f>
        <v>0</v>
      </c>
      <c r="AG32" s="94">
        <f>COUNTIF('261029'!$C$18:$C$47,$C32)+COUNTIF('261029'!$I$18:$I$47,$C32)</f>
        <v>0</v>
      </c>
      <c r="AH32" s="94">
        <f>COUNTIF('261030'!$C$18:$C$47,$C32)+COUNTIF('261030'!$I$18:$I$47,$C32)</f>
        <v>0</v>
      </c>
      <c r="AI32" s="94">
        <f>COUNTIF('261031'!$C$18:$C$47,$C32)+COUNTIF('261031'!$I$18:$I$47,$C32)</f>
        <v>0</v>
      </c>
      <c r="AJ32" s="108">
        <f t="shared" si="1"/>
        <v>0</v>
      </c>
      <c r="AL32" s="16"/>
      <c r="AM32" s="16"/>
    </row>
    <row r="33" spans="2:39" ht="20.100000000000001" customHeight="1" x14ac:dyDescent="0.3">
      <c r="B33" s="36">
        <f t="shared" si="2"/>
        <v>29</v>
      </c>
      <c r="C33" s="56"/>
      <c r="D33" s="56"/>
      <c r="E33" s="94">
        <f>COUNTIF('261001'!$C$18:$C$47,$C33)+COUNTIF('261001'!$I$18:$I$47,$C33)</f>
        <v>0</v>
      </c>
      <c r="F33" s="94">
        <f>COUNTIF('261002'!$C$18:$C$47,$C33)+COUNTIF('261002'!$I$18:$I$47,$C33)</f>
        <v>0</v>
      </c>
      <c r="G33" s="94">
        <f>COUNTIF('261003'!$C$18:$C$47,$C33)+COUNTIF('261003'!$I$18:$I$47,$C33)</f>
        <v>0</v>
      </c>
      <c r="H33" s="94">
        <f>COUNTIF('261004'!$C$18:$C$47,$C33)+COUNTIF('261004'!$I$18:$I$47,$C33)</f>
        <v>0</v>
      </c>
      <c r="I33" s="94">
        <f>COUNTIF('261005'!$C$18:$C$47,$C33)+COUNTIF('261005'!$I$18:$I$47,$C33)</f>
        <v>0</v>
      </c>
      <c r="J33" s="94">
        <f>COUNTIF('261006'!$C$18:$C$47,$C33)+COUNTIF('261006'!$I$18:$I$47,$C33)</f>
        <v>0</v>
      </c>
      <c r="K33" s="94">
        <f>COUNTIF('261007'!$C$18:$C$47,$C33)+COUNTIF('261007'!$I$18:$I$47,$C33)</f>
        <v>0</v>
      </c>
      <c r="L33" s="94">
        <f>COUNTIF('261008'!$C$18:$C$47,$C33)+COUNTIF('261008'!$I$18:$I$47,$C33)</f>
        <v>0</v>
      </c>
      <c r="M33" s="94">
        <f>COUNTIF('261009'!$C$18:$C$47,$C33)+COUNTIF('261009'!$I$18:$I$47,$C33)</f>
        <v>0</v>
      </c>
      <c r="N33" s="94">
        <f>COUNTIF('261010'!$C$18:$C$47,$C33)+COUNTIF('261010'!$I$18:$I$47,$C33)</f>
        <v>0</v>
      </c>
      <c r="O33" s="94">
        <f>COUNTIF('261011'!$C$18:$C$47,$C33)+COUNTIF('261011'!$I$18:$I$47,$C33)</f>
        <v>0</v>
      </c>
      <c r="P33" s="94">
        <f>COUNTIF('261012'!$C$18:$C$47,$C33)+COUNTIF('261012'!$I$18:$I$47,$C33)</f>
        <v>0</v>
      </c>
      <c r="Q33" s="94">
        <f>COUNTIF('261013'!$C$18:$C$47,$C33)+COUNTIF('261013'!$I$18:$I$47,$C33)</f>
        <v>0</v>
      </c>
      <c r="R33" s="94">
        <f>COUNTIF('261014'!$C$18:$C$47,$C33)+COUNTIF('261014'!$I$18:$I$47,$C33)</f>
        <v>0</v>
      </c>
      <c r="S33" s="94">
        <f>COUNTIF('261015'!$C$18:$C$47,$C33)+COUNTIF('261015'!$I$18:$I$47,$C33)</f>
        <v>0</v>
      </c>
      <c r="T33" s="94">
        <f>COUNTIF('261016'!$C$18:$C$47,$C33)+COUNTIF('261016'!$I$18:$I$47,$C33)</f>
        <v>0</v>
      </c>
      <c r="U33" s="94">
        <f>COUNTIF('261017'!$C$18:$C$47,$C33)+COUNTIF('261017'!$I$18:$I$47,$C33)</f>
        <v>0</v>
      </c>
      <c r="V33" s="94">
        <f>COUNTIF('261018'!$C$18:$C$47,$C33)+COUNTIF('261018'!$I$18:$I$47,$C33)</f>
        <v>0</v>
      </c>
      <c r="W33" s="94">
        <f>COUNTIF('261019'!$C$18:$C$47,$C33)+COUNTIF('261019'!$I$18:$I$47,$C33)</f>
        <v>0</v>
      </c>
      <c r="X33" s="94">
        <f>COUNTIF('261020'!$C$18:$C$47,$C33)+COUNTIF('261020'!$I$18:$I$47,$C33)</f>
        <v>0</v>
      </c>
      <c r="Y33" s="94">
        <f>COUNTIF('261021'!$C$18:$C$47,$C33)+COUNTIF('261021'!$I$18:$I$47,$C33)</f>
        <v>0</v>
      </c>
      <c r="Z33" s="94">
        <f>COUNTIF('261022'!$C$18:$C$47,$C33)+COUNTIF('261022'!$I$18:$I$47,$C33)</f>
        <v>0</v>
      </c>
      <c r="AA33" s="94">
        <f>COUNTIF('261023'!$C$18:$C$47,$C33)+COUNTIF('261023'!$I$18:$I$47,$C33)</f>
        <v>0</v>
      </c>
      <c r="AB33" s="94">
        <f>COUNTIF('261024'!$C$18:$C$47,$C33)+COUNTIF('261024'!$I$18:$I$47,$C33)</f>
        <v>0</v>
      </c>
      <c r="AC33" s="94">
        <f>COUNTIF('261025'!$C$18:$C$47,$C33)+COUNTIF('261025'!$I$18:$I$47,$C33)</f>
        <v>0</v>
      </c>
      <c r="AD33" s="94">
        <f>COUNTIF('261026'!$C$18:$C$47,$C33)+COUNTIF('261026'!$I$18:$I$47,$C33)</f>
        <v>0</v>
      </c>
      <c r="AE33" s="94">
        <f>COUNTIF('261027'!$C$18:$C$47,$C33)+COUNTIF('261027'!$I$18:$I$47,$C33)</f>
        <v>0</v>
      </c>
      <c r="AF33" s="94">
        <f>COUNTIF('261028'!$C$18:$C$47,$C33)+COUNTIF('261028'!$I$18:$I$47,$C33)</f>
        <v>0</v>
      </c>
      <c r="AG33" s="94">
        <f>COUNTIF('261029'!$C$18:$C$47,$C33)+COUNTIF('261029'!$I$18:$I$47,$C33)</f>
        <v>0</v>
      </c>
      <c r="AH33" s="94">
        <f>COUNTIF('261030'!$C$18:$C$47,$C33)+COUNTIF('261030'!$I$18:$I$47,$C33)</f>
        <v>0</v>
      </c>
      <c r="AI33" s="94">
        <f>COUNTIF('261031'!$C$18:$C$47,$C33)+COUNTIF('261031'!$I$18:$I$47,$C33)</f>
        <v>0</v>
      </c>
      <c r="AJ33" s="108">
        <f t="shared" si="1"/>
        <v>0</v>
      </c>
      <c r="AL33" s="16"/>
      <c r="AM33" s="16"/>
    </row>
    <row r="34" spans="2:39" ht="20.100000000000001" customHeight="1" x14ac:dyDescent="0.3">
      <c r="B34" s="36">
        <f t="shared" si="2"/>
        <v>30</v>
      </c>
      <c r="C34" s="62"/>
      <c r="D34" s="56"/>
      <c r="E34" s="94">
        <f>COUNTIF('261001'!$C$18:$C$47,$C34)+COUNTIF('261001'!$I$18:$I$47,$C34)</f>
        <v>0</v>
      </c>
      <c r="F34" s="94">
        <f>COUNTIF('261002'!$C$18:$C$47,$C34)+COUNTIF('261002'!$I$18:$I$47,$C34)</f>
        <v>0</v>
      </c>
      <c r="G34" s="94">
        <f>COUNTIF('261003'!$C$18:$C$47,$C34)+COUNTIF('261003'!$I$18:$I$47,$C34)</f>
        <v>0</v>
      </c>
      <c r="H34" s="94">
        <f>COUNTIF('261004'!$C$18:$C$47,$C34)+COUNTIF('261004'!$I$18:$I$47,$C34)</f>
        <v>0</v>
      </c>
      <c r="I34" s="94">
        <f>COUNTIF('261005'!$C$18:$C$47,$C34)+COUNTIF('261005'!$I$18:$I$47,$C34)</f>
        <v>0</v>
      </c>
      <c r="J34" s="94">
        <f>COUNTIF('261006'!$C$18:$C$47,$C34)+COUNTIF('261006'!$I$18:$I$47,$C34)</f>
        <v>0</v>
      </c>
      <c r="K34" s="94">
        <f>COUNTIF('261007'!$C$18:$C$47,$C34)+COUNTIF('261007'!$I$18:$I$47,$C34)</f>
        <v>0</v>
      </c>
      <c r="L34" s="94">
        <f>COUNTIF('261008'!$C$18:$C$47,$C34)+COUNTIF('261008'!$I$18:$I$47,$C34)</f>
        <v>0</v>
      </c>
      <c r="M34" s="94">
        <f>COUNTIF('261009'!$C$18:$C$47,$C34)+COUNTIF('261009'!$I$18:$I$47,$C34)</f>
        <v>0</v>
      </c>
      <c r="N34" s="94">
        <f>COUNTIF('261010'!$C$18:$C$47,$C34)+COUNTIF('261010'!$I$18:$I$47,$C34)</f>
        <v>0</v>
      </c>
      <c r="O34" s="94">
        <f>COUNTIF('261011'!$C$18:$C$47,$C34)+COUNTIF('261011'!$I$18:$I$47,$C34)</f>
        <v>0</v>
      </c>
      <c r="P34" s="94">
        <f>COUNTIF('261012'!$C$18:$C$47,$C34)+COUNTIF('261012'!$I$18:$I$47,$C34)</f>
        <v>0</v>
      </c>
      <c r="Q34" s="94">
        <f>COUNTIF('261013'!$C$18:$C$47,$C34)+COUNTIF('261013'!$I$18:$I$47,$C34)</f>
        <v>0</v>
      </c>
      <c r="R34" s="94">
        <f>COUNTIF('261014'!$C$18:$C$47,$C34)+COUNTIF('261014'!$I$18:$I$47,$C34)</f>
        <v>0</v>
      </c>
      <c r="S34" s="94">
        <f>COUNTIF('261015'!$C$18:$C$47,$C34)+COUNTIF('261015'!$I$18:$I$47,$C34)</f>
        <v>0</v>
      </c>
      <c r="T34" s="94">
        <f>COUNTIF('261016'!$C$18:$C$47,$C34)+COUNTIF('261016'!$I$18:$I$47,$C34)</f>
        <v>0</v>
      </c>
      <c r="U34" s="94">
        <f>COUNTIF('261017'!$C$18:$C$47,$C34)+COUNTIF('261017'!$I$18:$I$47,$C34)</f>
        <v>0</v>
      </c>
      <c r="V34" s="94">
        <f>COUNTIF('261018'!$C$18:$C$47,$C34)+COUNTIF('261018'!$I$18:$I$47,$C34)</f>
        <v>0</v>
      </c>
      <c r="W34" s="94">
        <f>COUNTIF('261019'!$C$18:$C$47,$C34)+COUNTIF('261019'!$I$18:$I$47,$C34)</f>
        <v>0</v>
      </c>
      <c r="X34" s="94">
        <f>COUNTIF('261020'!$C$18:$C$47,$C34)+COUNTIF('261020'!$I$18:$I$47,$C34)</f>
        <v>0</v>
      </c>
      <c r="Y34" s="94">
        <f>COUNTIF('261021'!$C$18:$C$47,$C34)+COUNTIF('261021'!$I$18:$I$47,$C34)</f>
        <v>0</v>
      </c>
      <c r="Z34" s="94">
        <f>COUNTIF('261022'!$C$18:$C$47,$C34)+COUNTIF('261022'!$I$18:$I$47,$C34)</f>
        <v>0</v>
      </c>
      <c r="AA34" s="94">
        <f>COUNTIF('261023'!$C$18:$C$47,$C34)+COUNTIF('261023'!$I$18:$I$47,$C34)</f>
        <v>0</v>
      </c>
      <c r="AB34" s="94">
        <f>COUNTIF('261024'!$C$18:$C$47,$C34)+COUNTIF('261024'!$I$18:$I$47,$C34)</f>
        <v>0</v>
      </c>
      <c r="AC34" s="94">
        <f>COUNTIF('261025'!$C$18:$C$47,$C34)+COUNTIF('261025'!$I$18:$I$47,$C34)</f>
        <v>0</v>
      </c>
      <c r="AD34" s="94">
        <f>COUNTIF('261026'!$C$18:$C$47,$C34)+COUNTIF('261026'!$I$18:$I$47,$C34)</f>
        <v>0</v>
      </c>
      <c r="AE34" s="94">
        <f>COUNTIF('261027'!$C$18:$C$47,$C34)+COUNTIF('261027'!$I$18:$I$47,$C34)</f>
        <v>0</v>
      </c>
      <c r="AF34" s="94">
        <f>COUNTIF('261028'!$C$18:$C$47,$C34)+COUNTIF('261028'!$I$18:$I$47,$C34)</f>
        <v>0</v>
      </c>
      <c r="AG34" s="94">
        <f>COUNTIF('261029'!$C$18:$C$47,$C34)+COUNTIF('261029'!$I$18:$I$47,$C34)</f>
        <v>0</v>
      </c>
      <c r="AH34" s="94">
        <f>COUNTIF('261030'!$C$18:$C$47,$C34)+COUNTIF('261030'!$I$18:$I$47,$C34)</f>
        <v>0</v>
      </c>
      <c r="AI34" s="94">
        <f>COUNTIF('261031'!$C$18:$C$47,$C34)+COUNTIF('261031'!$I$18:$I$47,$C34)</f>
        <v>0</v>
      </c>
      <c r="AJ34" s="108">
        <f t="shared" si="1"/>
        <v>0</v>
      </c>
    </row>
    <row r="35" spans="2:39" ht="20.100000000000001" customHeight="1" x14ac:dyDescent="0.3">
      <c r="B35" s="36">
        <f t="shared" si="2"/>
        <v>31</v>
      </c>
      <c r="C35" s="62"/>
      <c r="D35" s="56"/>
      <c r="E35" s="94">
        <f>COUNTIF('261001'!$C$18:$C$47,$C35)+COUNTIF('261001'!$I$18:$I$47,$C35)</f>
        <v>0</v>
      </c>
      <c r="F35" s="94">
        <f>COUNTIF('261002'!$C$18:$C$47,$C35)+COUNTIF('261002'!$I$18:$I$47,$C35)</f>
        <v>0</v>
      </c>
      <c r="G35" s="94">
        <f>COUNTIF('261003'!$C$18:$C$47,$C35)+COUNTIF('261003'!$I$18:$I$47,$C35)</f>
        <v>0</v>
      </c>
      <c r="H35" s="94">
        <f>COUNTIF('261004'!$C$18:$C$47,$C35)+COUNTIF('261004'!$I$18:$I$47,$C35)</f>
        <v>0</v>
      </c>
      <c r="I35" s="94">
        <f>COUNTIF('261005'!$C$18:$C$47,$C35)+COUNTIF('261005'!$I$18:$I$47,$C35)</f>
        <v>0</v>
      </c>
      <c r="J35" s="94">
        <f>COUNTIF('261006'!$C$18:$C$47,$C35)+COUNTIF('261006'!$I$18:$I$47,$C35)</f>
        <v>0</v>
      </c>
      <c r="K35" s="94">
        <f>COUNTIF('261007'!$C$18:$C$47,$C35)+COUNTIF('261007'!$I$18:$I$47,$C35)</f>
        <v>0</v>
      </c>
      <c r="L35" s="94">
        <f>COUNTIF('261008'!$C$18:$C$47,$C35)+COUNTIF('261008'!$I$18:$I$47,$C35)</f>
        <v>0</v>
      </c>
      <c r="M35" s="94">
        <f>COUNTIF('261009'!$C$18:$C$47,$C35)+COUNTIF('261009'!$I$18:$I$47,$C35)</f>
        <v>0</v>
      </c>
      <c r="N35" s="94">
        <f>COUNTIF('261010'!$C$18:$C$47,$C35)+COUNTIF('261010'!$I$18:$I$47,$C35)</f>
        <v>0</v>
      </c>
      <c r="O35" s="94">
        <f>COUNTIF('261011'!$C$18:$C$47,$C35)+COUNTIF('261011'!$I$18:$I$47,$C35)</f>
        <v>0</v>
      </c>
      <c r="P35" s="94">
        <f>COUNTIF('261012'!$C$18:$C$47,$C35)+COUNTIF('261012'!$I$18:$I$47,$C35)</f>
        <v>0</v>
      </c>
      <c r="Q35" s="94">
        <f>COUNTIF('261013'!$C$18:$C$47,$C35)+COUNTIF('261013'!$I$18:$I$47,$C35)</f>
        <v>0</v>
      </c>
      <c r="R35" s="94">
        <f>COUNTIF('261014'!$C$18:$C$47,$C35)+COUNTIF('261014'!$I$18:$I$47,$C35)</f>
        <v>0</v>
      </c>
      <c r="S35" s="94">
        <f>COUNTIF('261015'!$C$18:$C$47,$C35)+COUNTIF('261015'!$I$18:$I$47,$C35)</f>
        <v>0</v>
      </c>
      <c r="T35" s="94">
        <f>COUNTIF('261016'!$C$18:$C$47,$C35)+COUNTIF('261016'!$I$18:$I$47,$C35)</f>
        <v>0</v>
      </c>
      <c r="U35" s="94">
        <f>COUNTIF('261017'!$C$18:$C$47,$C35)+COUNTIF('261017'!$I$18:$I$47,$C35)</f>
        <v>0</v>
      </c>
      <c r="V35" s="94">
        <f>COUNTIF('261018'!$C$18:$C$47,$C35)+COUNTIF('261018'!$I$18:$I$47,$C35)</f>
        <v>0</v>
      </c>
      <c r="W35" s="94">
        <f>COUNTIF('261019'!$C$18:$C$47,$C35)+COUNTIF('261019'!$I$18:$I$47,$C35)</f>
        <v>0</v>
      </c>
      <c r="X35" s="94">
        <f>COUNTIF('261020'!$C$18:$C$47,$C35)+COUNTIF('261020'!$I$18:$I$47,$C35)</f>
        <v>0</v>
      </c>
      <c r="Y35" s="94">
        <f>COUNTIF('261021'!$C$18:$C$47,$C35)+COUNTIF('261021'!$I$18:$I$47,$C35)</f>
        <v>0</v>
      </c>
      <c r="Z35" s="94">
        <f>COUNTIF('261022'!$C$18:$C$47,$C35)+COUNTIF('261022'!$I$18:$I$47,$C35)</f>
        <v>0</v>
      </c>
      <c r="AA35" s="94">
        <f>COUNTIF('261023'!$C$18:$C$47,$C35)+COUNTIF('261023'!$I$18:$I$47,$C35)</f>
        <v>0</v>
      </c>
      <c r="AB35" s="94">
        <f>COUNTIF('261024'!$C$18:$C$47,$C35)+COUNTIF('261024'!$I$18:$I$47,$C35)</f>
        <v>0</v>
      </c>
      <c r="AC35" s="94">
        <f>COUNTIF('261025'!$C$18:$C$47,$C35)+COUNTIF('261025'!$I$18:$I$47,$C35)</f>
        <v>0</v>
      </c>
      <c r="AD35" s="94">
        <f>COUNTIF('261026'!$C$18:$C$47,$C35)+COUNTIF('261026'!$I$18:$I$47,$C35)</f>
        <v>0</v>
      </c>
      <c r="AE35" s="94">
        <f>COUNTIF('261027'!$C$18:$C$47,$C35)+COUNTIF('261027'!$I$18:$I$47,$C35)</f>
        <v>0</v>
      </c>
      <c r="AF35" s="94">
        <f>COUNTIF('261028'!$C$18:$C$47,$C35)+COUNTIF('261028'!$I$18:$I$47,$C35)</f>
        <v>0</v>
      </c>
      <c r="AG35" s="94">
        <f>COUNTIF('261029'!$C$18:$C$47,$C35)+COUNTIF('261029'!$I$18:$I$47,$C35)</f>
        <v>0</v>
      </c>
      <c r="AH35" s="94">
        <f>COUNTIF('261030'!$C$18:$C$47,$C35)+COUNTIF('261030'!$I$18:$I$47,$C35)</f>
        <v>0</v>
      </c>
      <c r="AI35" s="94">
        <f>COUNTIF('261031'!$C$18:$C$47,$C35)+COUNTIF('261031'!$I$18:$I$47,$C35)</f>
        <v>0</v>
      </c>
      <c r="AJ35" s="108">
        <f t="shared" si="1"/>
        <v>0</v>
      </c>
      <c r="AL35" s="16"/>
      <c r="AM35" s="16"/>
    </row>
    <row r="36" spans="2:39" ht="20.100000000000001" customHeight="1" x14ac:dyDescent="0.3">
      <c r="B36" s="36">
        <f t="shared" si="2"/>
        <v>32</v>
      </c>
      <c r="C36" s="62"/>
      <c r="D36" s="56"/>
      <c r="E36" s="94">
        <f>COUNTIF('261001'!$C$18:$C$47,$C36)+COUNTIF('261001'!$I$18:$I$47,$C36)</f>
        <v>0</v>
      </c>
      <c r="F36" s="94">
        <f>COUNTIF('261002'!$C$18:$C$47,$C36)+COUNTIF('261002'!$I$18:$I$47,$C36)</f>
        <v>0</v>
      </c>
      <c r="G36" s="94">
        <f>COUNTIF('261003'!$C$18:$C$47,$C36)+COUNTIF('261003'!$I$18:$I$47,$C36)</f>
        <v>0</v>
      </c>
      <c r="H36" s="94">
        <f>COUNTIF('261004'!$C$18:$C$47,$C36)+COUNTIF('261004'!$I$18:$I$47,$C36)</f>
        <v>0</v>
      </c>
      <c r="I36" s="94">
        <f>COUNTIF('261005'!$C$18:$C$47,$C36)+COUNTIF('261005'!$I$18:$I$47,$C36)</f>
        <v>0</v>
      </c>
      <c r="J36" s="94">
        <f>COUNTIF('261006'!$C$18:$C$47,$C36)+COUNTIF('261006'!$I$18:$I$47,$C36)</f>
        <v>0</v>
      </c>
      <c r="K36" s="94">
        <f>COUNTIF('261007'!$C$18:$C$47,$C36)+COUNTIF('261007'!$I$18:$I$47,$C36)</f>
        <v>0</v>
      </c>
      <c r="L36" s="94">
        <f>COUNTIF('261008'!$C$18:$C$47,$C36)+COUNTIF('261008'!$I$18:$I$47,$C36)</f>
        <v>0</v>
      </c>
      <c r="M36" s="94">
        <f>COUNTIF('261009'!$C$18:$C$47,$C36)+COUNTIF('261009'!$I$18:$I$47,$C36)</f>
        <v>0</v>
      </c>
      <c r="N36" s="94">
        <f>COUNTIF('261010'!$C$18:$C$47,$C36)+COUNTIF('261010'!$I$18:$I$47,$C36)</f>
        <v>0</v>
      </c>
      <c r="O36" s="94">
        <f>COUNTIF('261011'!$C$18:$C$47,$C36)+COUNTIF('261011'!$I$18:$I$47,$C36)</f>
        <v>0</v>
      </c>
      <c r="P36" s="94">
        <f>COUNTIF('261012'!$C$18:$C$47,$C36)+COUNTIF('261012'!$I$18:$I$47,$C36)</f>
        <v>0</v>
      </c>
      <c r="Q36" s="94">
        <f>COUNTIF('261013'!$C$18:$C$47,$C36)+COUNTIF('261013'!$I$18:$I$47,$C36)</f>
        <v>0</v>
      </c>
      <c r="R36" s="94">
        <f>COUNTIF('261014'!$C$18:$C$47,$C36)+COUNTIF('261014'!$I$18:$I$47,$C36)</f>
        <v>0</v>
      </c>
      <c r="S36" s="94">
        <f>COUNTIF('261015'!$C$18:$C$47,$C36)+COUNTIF('261015'!$I$18:$I$47,$C36)</f>
        <v>0</v>
      </c>
      <c r="T36" s="94">
        <f>COUNTIF('261016'!$C$18:$C$47,$C36)+COUNTIF('261016'!$I$18:$I$47,$C36)</f>
        <v>0</v>
      </c>
      <c r="U36" s="94">
        <f>COUNTIF('261017'!$C$18:$C$47,$C36)+COUNTIF('261017'!$I$18:$I$47,$C36)</f>
        <v>0</v>
      </c>
      <c r="V36" s="94">
        <f>COUNTIF('261018'!$C$18:$C$47,$C36)+COUNTIF('261018'!$I$18:$I$47,$C36)</f>
        <v>0</v>
      </c>
      <c r="W36" s="94">
        <f>COUNTIF('261019'!$C$18:$C$47,$C36)+COUNTIF('261019'!$I$18:$I$47,$C36)</f>
        <v>0</v>
      </c>
      <c r="X36" s="94">
        <f>COUNTIF('261020'!$C$18:$C$47,$C36)+COUNTIF('261020'!$I$18:$I$47,$C36)</f>
        <v>0</v>
      </c>
      <c r="Y36" s="94">
        <f>COUNTIF('261021'!$C$18:$C$47,$C36)+COUNTIF('261021'!$I$18:$I$47,$C36)</f>
        <v>0</v>
      </c>
      <c r="Z36" s="94">
        <f>COUNTIF('261022'!$C$18:$C$47,$C36)+COUNTIF('261022'!$I$18:$I$47,$C36)</f>
        <v>0</v>
      </c>
      <c r="AA36" s="94">
        <f>COUNTIF('261023'!$C$18:$C$47,$C36)+COUNTIF('261023'!$I$18:$I$47,$C36)</f>
        <v>0</v>
      </c>
      <c r="AB36" s="94">
        <f>COUNTIF('261024'!$C$18:$C$47,$C36)+COUNTIF('261024'!$I$18:$I$47,$C36)</f>
        <v>0</v>
      </c>
      <c r="AC36" s="94">
        <f>COUNTIF('261025'!$C$18:$C$47,$C36)+COUNTIF('261025'!$I$18:$I$47,$C36)</f>
        <v>0</v>
      </c>
      <c r="AD36" s="94">
        <f>COUNTIF('261026'!$C$18:$C$47,$C36)+COUNTIF('261026'!$I$18:$I$47,$C36)</f>
        <v>0</v>
      </c>
      <c r="AE36" s="94">
        <f>COUNTIF('261027'!$C$18:$C$47,$C36)+COUNTIF('261027'!$I$18:$I$47,$C36)</f>
        <v>0</v>
      </c>
      <c r="AF36" s="94">
        <f>COUNTIF('261028'!$C$18:$C$47,$C36)+COUNTIF('261028'!$I$18:$I$47,$C36)</f>
        <v>0</v>
      </c>
      <c r="AG36" s="94">
        <f>COUNTIF('261029'!$C$18:$C$47,$C36)+COUNTIF('261029'!$I$18:$I$47,$C36)</f>
        <v>0</v>
      </c>
      <c r="AH36" s="94">
        <f>COUNTIF('261030'!$C$18:$C$47,$C36)+COUNTIF('261030'!$I$18:$I$47,$C36)</f>
        <v>0</v>
      </c>
      <c r="AI36" s="94">
        <f>COUNTIF('261031'!$C$18:$C$47,$C36)+COUNTIF('261031'!$I$18:$I$47,$C36)</f>
        <v>0</v>
      </c>
      <c r="AJ36" s="108">
        <f t="shared" si="1"/>
        <v>0</v>
      </c>
      <c r="AL36" s="16"/>
      <c r="AM36" s="16"/>
    </row>
    <row r="37" spans="2:39" ht="20.100000000000001" customHeight="1" x14ac:dyDescent="0.3">
      <c r="B37" s="36">
        <f t="shared" si="2"/>
        <v>33</v>
      </c>
      <c r="C37" s="62"/>
      <c r="D37" s="56"/>
      <c r="E37" s="94">
        <f>COUNTIF('261001'!$C$18:$C$47,$C37)+COUNTIF('261001'!$I$18:$I$47,$C37)</f>
        <v>0</v>
      </c>
      <c r="F37" s="94">
        <f>COUNTIF('261002'!$C$18:$C$47,$C37)+COUNTIF('261002'!$I$18:$I$47,$C37)</f>
        <v>0</v>
      </c>
      <c r="G37" s="94">
        <f>COUNTIF('261003'!$C$18:$C$47,$C37)+COUNTIF('261003'!$I$18:$I$47,$C37)</f>
        <v>0</v>
      </c>
      <c r="H37" s="94">
        <f>COUNTIF('261004'!$C$18:$C$47,$C37)+COUNTIF('261004'!$I$18:$I$47,$C37)</f>
        <v>0</v>
      </c>
      <c r="I37" s="94">
        <f>COUNTIF('261005'!$C$18:$C$47,$C37)+COUNTIF('261005'!$I$18:$I$47,$C37)</f>
        <v>0</v>
      </c>
      <c r="J37" s="94">
        <f>COUNTIF('261006'!$C$18:$C$47,$C37)+COUNTIF('261006'!$I$18:$I$47,$C37)</f>
        <v>0</v>
      </c>
      <c r="K37" s="94">
        <f>COUNTIF('261007'!$C$18:$C$47,$C37)+COUNTIF('261007'!$I$18:$I$47,$C37)</f>
        <v>0</v>
      </c>
      <c r="L37" s="94">
        <f>COUNTIF('261008'!$C$18:$C$47,$C37)+COUNTIF('261008'!$I$18:$I$47,$C37)</f>
        <v>0</v>
      </c>
      <c r="M37" s="94">
        <f>COUNTIF('261009'!$C$18:$C$47,$C37)+COUNTIF('261009'!$I$18:$I$47,$C37)</f>
        <v>0</v>
      </c>
      <c r="N37" s="94">
        <f>COUNTIF('261010'!$C$18:$C$47,$C37)+COUNTIF('261010'!$I$18:$I$47,$C37)</f>
        <v>0</v>
      </c>
      <c r="O37" s="94">
        <f>COUNTIF('261011'!$C$18:$C$47,$C37)+COUNTIF('261011'!$I$18:$I$47,$C37)</f>
        <v>0</v>
      </c>
      <c r="P37" s="94">
        <f>COUNTIF('261012'!$C$18:$C$47,$C37)+COUNTIF('261012'!$I$18:$I$47,$C37)</f>
        <v>0</v>
      </c>
      <c r="Q37" s="94">
        <f>COUNTIF('261013'!$C$18:$C$47,$C37)+COUNTIF('261013'!$I$18:$I$47,$C37)</f>
        <v>0</v>
      </c>
      <c r="R37" s="94">
        <f>COUNTIF('261014'!$C$18:$C$47,$C37)+COUNTIF('261014'!$I$18:$I$47,$C37)</f>
        <v>0</v>
      </c>
      <c r="S37" s="94">
        <f>COUNTIF('261015'!$C$18:$C$47,$C37)+COUNTIF('261015'!$I$18:$I$47,$C37)</f>
        <v>0</v>
      </c>
      <c r="T37" s="94">
        <f>COUNTIF('261016'!$C$18:$C$47,$C37)+COUNTIF('261016'!$I$18:$I$47,$C37)</f>
        <v>0</v>
      </c>
      <c r="U37" s="94">
        <f>COUNTIF('261017'!$C$18:$C$47,$C37)+COUNTIF('261017'!$I$18:$I$47,$C37)</f>
        <v>0</v>
      </c>
      <c r="V37" s="94">
        <f>COUNTIF('261018'!$C$18:$C$47,$C37)+COUNTIF('261018'!$I$18:$I$47,$C37)</f>
        <v>0</v>
      </c>
      <c r="W37" s="94">
        <f>COUNTIF('261019'!$C$18:$C$47,$C37)+COUNTIF('261019'!$I$18:$I$47,$C37)</f>
        <v>0</v>
      </c>
      <c r="X37" s="94">
        <f>COUNTIF('261020'!$C$18:$C$47,$C37)+COUNTIF('261020'!$I$18:$I$47,$C37)</f>
        <v>0</v>
      </c>
      <c r="Y37" s="94">
        <f>COUNTIF('261021'!$C$18:$C$47,$C37)+COUNTIF('261021'!$I$18:$I$47,$C37)</f>
        <v>0</v>
      </c>
      <c r="Z37" s="94">
        <f>COUNTIF('261022'!$C$18:$C$47,$C37)+COUNTIF('261022'!$I$18:$I$47,$C37)</f>
        <v>0</v>
      </c>
      <c r="AA37" s="94">
        <f>COUNTIF('261023'!$C$18:$C$47,$C37)+COUNTIF('261023'!$I$18:$I$47,$C37)</f>
        <v>0</v>
      </c>
      <c r="AB37" s="94">
        <f>COUNTIF('261024'!$C$18:$C$47,$C37)+COUNTIF('261024'!$I$18:$I$47,$C37)</f>
        <v>0</v>
      </c>
      <c r="AC37" s="94">
        <f>COUNTIF('261025'!$C$18:$C$47,$C37)+COUNTIF('261025'!$I$18:$I$47,$C37)</f>
        <v>0</v>
      </c>
      <c r="AD37" s="94">
        <f>COUNTIF('261026'!$C$18:$C$47,$C37)+COUNTIF('261026'!$I$18:$I$47,$C37)</f>
        <v>0</v>
      </c>
      <c r="AE37" s="94">
        <f>COUNTIF('261027'!$C$18:$C$47,$C37)+COUNTIF('261027'!$I$18:$I$47,$C37)</f>
        <v>0</v>
      </c>
      <c r="AF37" s="94">
        <f>COUNTIF('261028'!$C$18:$C$47,$C37)+COUNTIF('261028'!$I$18:$I$47,$C37)</f>
        <v>0</v>
      </c>
      <c r="AG37" s="94">
        <f>COUNTIF('261029'!$C$18:$C$47,$C37)+COUNTIF('261029'!$I$18:$I$47,$C37)</f>
        <v>0</v>
      </c>
      <c r="AH37" s="94">
        <f>COUNTIF('261030'!$C$18:$C$47,$C37)+COUNTIF('261030'!$I$18:$I$47,$C37)</f>
        <v>0</v>
      </c>
      <c r="AI37" s="94">
        <f>COUNTIF('261031'!$C$18:$C$47,$C37)+COUNTIF('261031'!$I$18:$I$47,$C37)</f>
        <v>0</v>
      </c>
      <c r="AJ37" s="108">
        <f t="shared" ref="AJ37:AJ68" si="3">SUM(E37:AI37)</f>
        <v>0</v>
      </c>
      <c r="AL37" s="16"/>
      <c r="AM37" s="16"/>
    </row>
    <row r="38" spans="2:39" ht="20.100000000000001" customHeight="1" x14ac:dyDescent="0.3">
      <c r="B38" s="36">
        <f t="shared" si="2"/>
        <v>34</v>
      </c>
      <c r="C38" s="62"/>
      <c r="D38" s="56"/>
      <c r="E38" s="94">
        <f>COUNTIF('261001'!$C$18:$C$47,$C38)+COUNTIF('261001'!$I$18:$I$47,$C38)</f>
        <v>0</v>
      </c>
      <c r="F38" s="94">
        <f>COUNTIF('261002'!$C$18:$C$47,$C38)+COUNTIF('261002'!$I$18:$I$47,$C38)</f>
        <v>0</v>
      </c>
      <c r="G38" s="94">
        <f>COUNTIF('261003'!$C$18:$C$47,$C38)+COUNTIF('261003'!$I$18:$I$47,$C38)</f>
        <v>0</v>
      </c>
      <c r="H38" s="94">
        <f>COUNTIF('261004'!$C$18:$C$47,$C38)+COUNTIF('261004'!$I$18:$I$47,$C38)</f>
        <v>0</v>
      </c>
      <c r="I38" s="94">
        <f>COUNTIF('261005'!$C$18:$C$47,$C38)+COUNTIF('261005'!$I$18:$I$47,$C38)</f>
        <v>0</v>
      </c>
      <c r="J38" s="94">
        <f>COUNTIF('261006'!$C$18:$C$47,$C38)+COUNTIF('261006'!$I$18:$I$47,$C38)</f>
        <v>0</v>
      </c>
      <c r="K38" s="94">
        <f>COUNTIF('261007'!$C$18:$C$47,$C38)+COUNTIF('261007'!$I$18:$I$47,$C38)</f>
        <v>0</v>
      </c>
      <c r="L38" s="94">
        <f>COUNTIF('261008'!$C$18:$C$47,$C38)+COUNTIF('261008'!$I$18:$I$47,$C38)</f>
        <v>0</v>
      </c>
      <c r="M38" s="94">
        <f>COUNTIF('261009'!$C$18:$C$47,$C38)+COUNTIF('261009'!$I$18:$I$47,$C38)</f>
        <v>0</v>
      </c>
      <c r="N38" s="94">
        <f>COUNTIF('261010'!$C$18:$C$47,$C38)+COUNTIF('261010'!$I$18:$I$47,$C38)</f>
        <v>0</v>
      </c>
      <c r="O38" s="94">
        <f>COUNTIF('261011'!$C$18:$C$47,$C38)+COUNTIF('261011'!$I$18:$I$47,$C38)</f>
        <v>0</v>
      </c>
      <c r="P38" s="94">
        <f>COUNTIF('261012'!$C$18:$C$47,$C38)+COUNTIF('261012'!$I$18:$I$47,$C38)</f>
        <v>0</v>
      </c>
      <c r="Q38" s="94">
        <f>COUNTIF('261013'!$C$18:$C$47,$C38)+COUNTIF('261013'!$I$18:$I$47,$C38)</f>
        <v>0</v>
      </c>
      <c r="R38" s="94">
        <f>COUNTIF('261014'!$C$18:$C$47,$C38)+COUNTIF('261014'!$I$18:$I$47,$C38)</f>
        <v>0</v>
      </c>
      <c r="S38" s="94">
        <f>COUNTIF('261015'!$C$18:$C$47,$C38)+COUNTIF('261015'!$I$18:$I$47,$C38)</f>
        <v>0</v>
      </c>
      <c r="T38" s="94">
        <f>COUNTIF('261016'!$C$18:$C$47,$C38)+COUNTIF('261016'!$I$18:$I$47,$C38)</f>
        <v>0</v>
      </c>
      <c r="U38" s="94">
        <f>COUNTIF('261017'!$C$18:$C$47,$C38)+COUNTIF('261017'!$I$18:$I$47,$C38)</f>
        <v>0</v>
      </c>
      <c r="V38" s="94">
        <f>COUNTIF('261018'!$C$18:$C$47,$C38)+COUNTIF('261018'!$I$18:$I$47,$C38)</f>
        <v>0</v>
      </c>
      <c r="W38" s="94">
        <f>COUNTIF('261019'!$C$18:$C$47,$C38)+COUNTIF('261019'!$I$18:$I$47,$C38)</f>
        <v>0</v>
      </c>
      <c r="X38" s="94">
        <f>COUNTIF('261020'!$C$18:$C$47,$C38)+COUNTIF('261020'!$I$18:$I$47,$C38)</f>
        <v>0</v>
      </c>
      <c r="Y38" s="94">
        <f>COUNTIF('261021'!$C$18:$C$47,$C38)+COUNTIF('261021'!$I$18:$I$47,$C38)</f>
        <v>0</v>
      </c>
      <c r="Z38" s="94">
        <f>COUNTIF('261022'!$C$18:$C$47,$C38)+COUNTIF('261022'!$I$18:$I$47,$C38)</f>
        <v>0</v>
      </c>
      <c r="AA38" s="94">
        <f>COUNTIF('261023'!$C$18:$C$47,$C38)+COUNTIF('261023'!$I$18:$I$47,$C38)</f>
        <v>0</v>
      </c>
      <c r="AB38" s="94">
        <f>COUNTIF('261024'!$C$18:$C$47,$C38)+COUNTIF('261024'!$I$18:$I$47,$C38)</f>
        <v>0</v>
      </c>
      <c r="AC38" s="94">
        <f>COUNTIF('261025'!$C$18:$C$47,$C38)+COUNTIF('261025'!$I$18:$I$47,$C38)</f>
        <v>0</v>
      </c>
      <c r="AD38" s="94">
        <f>COUNTIF('261026'!$C$18:$C$47,$C38)+COUNTIF('261026'!$I$18:$I$47,$C38)</f>
        <v>0</v>
      </c>
      <c r="AE38" s="94">
        <f>COUNTIF('261027'!$C$18:$C$47,$C38)+COUNTIF('261027'!$I$18:$I$47,$C38)</f>
        <v>0</v>
      </c>
      <c r="AF38" s="94">
        <f>COUNTIF('261028'!$C$18:$C$47,$C38)+COUNTIF('261028'!$I$18:$I$47,$C38)</f>
        <v>0</v>
      </c>
      <c r="AG38" s="94">
        <f>COUNTIF('261029'!$C$18:$C$47,$C38)+COUNTIF('261029'!$I$18:$I$47,$C38)</f>
        <v>0</v>
      </c>
      <c r="AH38" s="94">
        <f>COUNTIF('261030'!$C$18:$C$47,$C38)+COUNTIF('261030'!$I$18:$I$47,$C38)</f>
        <v>0</v>
      </c>
      <c r="AI38" s="94">
        <f>COUNTIF('261031'!$C$18:$C$47,$C38)+COUNTIF('261031'!$I$18:$I$47,$C38)</f>
        <v>0</v>
      </c>
      <c r="AJ38" s="108">
        <f t="shared" si="3"/>
        <v>0</v>
      </c>
      <c r="AL38" s="16"/>
      <c r="AM38" s="16"/>
    </row>
    <row r="39" spans="2:39" ht="20.100000000000001" customHeight="1" x14ac:dyDescent="0.3">
      <c r="B39" s="36">
        <f t="shared" si="2"/>
        <v>35</v>
      </c>
      <c r="C39" s="62"/>
      <c r="D39" s="56"/>
      <c r="E39" s="94">
        <f>COUNTIF('261001'!$C$18:$C$47,$C39)+COUNTIF('261001'!$I$18:$I$47,$C39)</f>
        <v>0</v>
      </c>
      <c r="F39" s="94">
        <f>COUNTIF('261002'!$C$18:$C$47,$C39)+COUNTIF('261002'!$I$18:$I$47,$C39)</f>
        <v>0</v>
      </c>
      <c r="G39" s="94">
        <f>COUNTIF('261003'!$C$18:$C$47,$C39)+COUNTIF('261003'!$I$18:$I$47,$C39)</f>
        <v>0</v>
      </c>
      <c r="H39" s="94">
        <f>COUNTIF('261004'!$C$18:$C$47,$C39)+COUNTIF('261004'!$I$18:$I$47,$C39)</f>
        <v>0</v>
      </c>
      <c r="I39" s="94">
        <f>COUNTIF('261005'!$C$18:$C$47,$C39)+COUNTIF('261005'!$I$18:$I$47,$C39)</f>
        <v>0</v>
      </c>
      <c r="J39" s="94">
        <f>COUNTIF('261006'!$C$18:$C$47,$C39)+COUNTIF('261006'!$I$18:$I$47,$C39)</f>
        <v>0</v>
      </c>
      <c r="K39" s="94">
        <f>COUNTIF('261007'!$C$18:$C$47,$C39)+COUNTIF('261007'!$I$18:$I$47,$C39)</f>
        <v>0</v>
      </c>
      <c r="L39" s="94">
        <f>COUNTIF('261008'!$C$18:$C$47,$C39)+COUNTIF('261008'!$I$18:$I$47,$C39)</f>
        <v>0</v>
      </c>
      <c r="M39" s="94">
        <f>COUNTIF('261009'!$C$18:$C$47,$C39)+COUNTIF('261009'!$I$18:$I$47,$C39)</f>
        <v>0</v>
      </c>
      <c r="N39" s="94">
        <f>COUNTIF('261010'!$C$18:$C$47,$C39)+COUNTIF('261010'!$I$18:$I$47,$C39)</f>
        <v>0</v>
      </c>
      <c r="O39" s="94">
        <f>COUNTIF('261011'!$C$18:$C$47,$C39)+COUNTIF('261011'!$I$18:$I$47,$C39)</f>
        <v>0</v>
      </c>
      <c r="P39" s="94">
        <f>COUNTIF('261012'!$C$18:$C$47,$C39)+COUNTIF('261012'!$I$18:$I$47,$C39)</f>
        <v>0</v>
      </c>
      <c r="Q39" s="94">
        <f>COUNTIF('261013'!$C$18:$C$47,$C39)+COUNTIF('261013'!$I$18:$I$47,$C39)</f>
        <v>0</v>
      </c>
      <c r="R39" s="94">
        <f>COUNTIF('261014'!$C$18:$C$47,$C39)+COUNTIF('261014'!$I$18:$I$47,$C39)</f>
        <v>0</v>
      </c>
      <c r="S39" s="94">
        <f>COUNTIF('261015'!$C$18:$C$47,$C39)+COUNTIF('261015'!$I$18:$I$47,$C39)</f>
        <v>0</v>
      </c>
      <c r="T39" s="94">
        <f>COUNTIF('261016'!$C$18:$C$47,$C39)+COUNTIF('261016'!$I$18:$I$47,$C39)</f>
        <v>0</v>
      </c>
      <c r="U39" s="94">
        <f>COUNTIF('261017'!$C$18:$C$47,$C39)+COUNTIF('261017'!$I$18:$I$47,$C39)</f>
        <v>0</v>
      </c>
      <c r="V39" s="94">
        <f>COUNTIF('261018'!$C$18:$C$47,$C39)+COUNTIF('261018'!$I$18:$I$47,$C39)</f>
        <v>0</v>
      </c>
      <c r="W39" s="94">
        <f>COUNTIF('261019'!$C$18:$C$47,$C39)+COUNTIF('261019'!$I$18:$I$47,$C39)</f>
        <v>0</v>
      </c>
      <c r="X39" s="94">
        <f>COUNTIF('261020'!$C$18:$C$47,$C39)+COUNTIF('261020'!$I$18:$I$47,$C39)</f>
        <v>0</v>
      </c>
      <c r="Y39" s="94">
        <f>COUNTIF('261021'!$C$18:$C$47,$C39)+COUNTIF('261021'!$I$18:$I$47,$C39)</f>
        <v>0</v>
      </c>
      <c r="Z39" s="94">
        <f>COUNTIF('261022'!$C$18:$C$47,$C39)+COUNTIF('261022'!$I$18:$I$47,$C39)</f>
        <v>0</v>
      </c>
      <c r="AA39" s="94">
        <f>COUNTIF('261023'!$C$18:$C$47,$C39)+COUNTIF('261023'!$I$18:$I$47,$C39)</f>
        <v>0</v>
      </c>
      <c r="AB39" s="94">
        <f>COUNTIF('261024'!$C$18:$C$47,$C39)+COUNTIF('261024'!$I$18:$I$47,$C39)</f>
        <v>0</v>
      </c>
      <c r="AC39" s="94">
        <f>COUNTIF('261025'!$C$18:$C$47,$C39)+COUNTIF('261025'!$I$18:$I$47,$C39)</f>
        <v>0</v>
      </c>
      <c r="AD39" s="94">
        <f>COUNTIF('261026'!$C$18:$C$47,$C39)+COUNTIF('261026'!$I$18:$I$47,$C39)</f>
        <v>0</v>
      </c>
      <c r="AE39" s="94">
        <f>COUNTIF('261027'!$C$18:$C$47,$C39)+COUNTIF('261027'!$I$18:$I$47,$C39)</f>
        <v>0</v>
      </c>
      <c r="AF39" s="94">
        <f>COUNTIF('261028'!$C$18:$C$47,$C39)+COUNTIF('261028'!$I$18:$I$47,$C39)</f>
        <v>0</v>
      </c>
      <c r="AG39" s="94">
        <f>COUNTIF('261029'!$C$18:$C$47,$C39)+COUNTIF('261029'!$I$18:$I$47,$C39)</f>
        <v>0</v>
      </c>
      <c r="AH39" s="94">
        <f>COUNTIF('261030'!$C$18:$C$47,$C39)+COUNTIF('261030'!$I$18:$I$47,$C39)</f>
        <v>0</v>
      </c>
      <c r="AI39" s="94">
        <f>COUNTIF('261031'!$C$18:$C$47,$C39)+COUNTIF('261031'!$I$18:$I$47,$C39)</f>
        <v>0</v>
      </c>
      <c r="AJ39" s="108">
        <f t="shared" si="3"/>
        <v>0</v>
      </c>
      <c r="AL39" s="16"/>
      <c r="AM39" s="16"/>
    </row>
    <row r="40" spans="2:39" ht="20.100000000000001" customHeight="1" x14ac:dyDescent="0.3">
      <c r="B40" s="36">
        <f t="shared" si="2"/>
        <v>36</v>
      </c>
      <c r="C40" s="62"/>
      <c r="D40" s="56"/>
      <c r="E40" s="94">
        <f>COUNTIF('261001'!$C$18:$C$47,$C40)+COUNTIF('261001'!$I$18:$I$47,$C40)</f>
        <v>0</v>
      </c>
      <c r="F40" s="94">
        <f>COUNTIF('261002'!$C$18:$C$47,$C40)+COUNTIF('261002'!$I$18:$I$47,$C40)</f>
        <v>0</v>
      </c>
      <c r="G40" s="94">
        <f>COUNTIF('261003'!$C$18:$C$47,$C40)+COUNTIF('261003'!$I$18:$I$47,$C40)</f>
        <v>0</v>
      </c>
      <c r="H40" s="94">
        <f>COUNTIF('261004'!$C$18:$C$47,$C40)+COUNTIF('261004'!$I$18:$I$47,$C40)</f>
        <v>0</v>
      </c>
      <c r="I40" s="94">
        <f>COUNTIF('261005'!$C$18:$C$47,$C40)+COUNTIF('261005'!$I$18:$I$47,$C40)</f>
        <v>0</v>
      </c>
      <c r="J40" s="94">
        <f>COUNTIF('261006'!$C$18:$C$47,$C40)+COUNTIF('261006'!$I$18:$I$47,$C40)</f>
        <v>0</v>
      </c>
      <c r="K40" s="94">
        <f>COUNTIF('261007'!$C$18:$C$47,$C40)+COUNTIF('261007'!$I$18:$I$47,$C40)</f>
        <v>0</v>
      </c>
      <c r="L40" s="94">
        <f>COUNTIF('261008'!$C$18:$C$47,$C40)+COUNTIF('261008'!$I$18:$I$47,$C40)</f>
        <v>0</v>
      </c>
      <c r="M40" s="94">
        <f>COUNTIF('261009'!$C$18:$C$47,$C40)+COUNTIF('261009'!$I$18:$I$47,$C40)</f>
        <v>0</v>
      </c>
      <c r="N40" s="94">
        <f>COUNTIF('261010'!$C$18:$C$47,$C40)+COUNTIF('261010'!$I$18:$I$47,$C40)</f>
        <v>0</v>
      </c>
      <c r="O40" s="94">
        <f>COUNTIF('261011'!$C$18:$C$47,$C40)+COUNTIF('261011'!$I$18:$I$47,$C40)</f>
        <v>0</v>
      </c>
      <c r="P40" s="94">
        <f>COUNTIF('261012'!$C$18:$C$47,$C40)+COUNTIF('261012'!$I$18:$I$47,$C40)</f>
        <v>0</v>
      </c>
      <c r="Q40" s="94">
        <f>COUNTIF('261013'!$C$18:$C$47,$C40)+COUNTIF('261013'!$I$18:$I$47,$C40)</f>
        <v>0</v>
      </c>
      <c r="R40" s="94">
        <f>COUNTIF('261014'!$C$18:$C$47,$C40)+COUNTIF('261014'!$I$18:$I$47,$C40)</f>
        <v>0</v>
      </c>
      <c r="S40" s="94">
        <f>COUNTIF('261015'!$C$18:$C$47,$C40)+COUNTIF('261015'!$I$18:$I$47,$C40)</f>
        <v>0</v>
      </c>
      <c r="T40" s="94">
        <f>COUNTIF('261016'!$C$18:$C$47,$C40)+COUNTIF('261016'!$I$18:$I$47,$C40)</f>
        <v>0</v>
      </c>
      <c r="U40" s="94">
        <f>COUNTIF('261017'!$C$18:$C$47,$C40)+COUNTIF('261017'!$I$18:$I$47,$C40)</f>
        <v>0</v>
      </c>
      <c r="V40" s="94">
        <f>COUNTIF('261018'!$C$18:$C$47,$C40)+COUNTIF('261018'!$I$18:$I$47,$C40)</f>
        <v>0</v>
      </c>
      <c r="W40" s="94">
        <f>COUNTIF('261019'!$C$18:$C$47,$C40)+COUNTIF('261019'!$I$18:$I$47,$C40)</f>
        <v>0</v>
      </c>
      <c r="X40" s="94">
        <f>COUNTIF('261020'!$C$18:$C$47,$C40)+COUNTIF('261020'!$I$18:$I$47,$C40)</f>
        <v>0</v>
      </c>
      <c r="Y40" s="94">
        <f>COUNTIF('261021'!$C$18:$C$47,$C40)+COUNTIF('261021'!$I$18:$I$47,$C40)</f>
        <v>0</v>
      </c>
      <c r="Z40" s="94">
        <f>COUNTIF('261022'!$C$18:$C$47,$C40)+COUNTIF('261022'!$I$18:$I$47,$C40)</f>
        <v>0</v>
      </c>
      <c r="AA40" s="94">
        <f>COUNTIF('261023'!$C$18:$C$47,$C40)+COUNTIF('261023'!$I$18:$I$47,$C40)</f>
        <v>0</v>
      </c>
      <c r="AB40" s="94">
        <f>COUNTIF('261024'!$C$18:$C$47,$C40)+COUNTIF('261024'!$I$18:$I$47,$C40)</f>
        <v>0</v>
      </c>
      <c r="AC40" s="94">
        <f>COUNTIF('261025'!$C$18:$C$47,$C40)+COUNTIF('261025'!$I$18:$I$47,$C40)</f>
        <v>0</v>
      </c>
      <c r="AD40" s="94">
        <f>COUNTIF('261026'!$C$18:$C$47,$C40)+COUNTIF('261026'!$I$18:$I$47,$C40)</f>
        <v>0</v>
      </c>
      <c r="AE40" s="94">
        <f>COUNTIF('261027'!$C$18:$C$47,$C40)+COUNTIF('261027'!$I$18:$I$47,$C40)</f>
        <v>0</v>
      </c>
      <c r="AF40" s="94">
        <f>COUNTIF('261028'!$C$18:$C$47,$C40)+COUNTIF('261028'!$I$18:$I$47,$C40)</f>
        <v>0</v>
      </c>
      <c r="AG40" s="94">
        <f>COUNTIF('261029'!$C$18:$C$47,$C40)+COUNTIF('261029'!$I$18:$I$47,$C40)</f>
        <v>0</v>
      </c>
      <c r="AH40" s="94">
        <f>COUNTIF('261030'!$C$18:$C$47,$C40)+COUNTIF('261030'!$I$18:$I$47,$C40)</f>
        <v>0</v>
      </c>
      <c r="AI40" s="94">
        <f>COUNTIF('261031'!$C$18:$C$47,$C40)+COUNTIF('261031'!$I$18:$I$47,$C40)</f>
        <v>0</v>
      </c>
      <c r="AJ40" s="108">
        <f t="shared" si="3"/>
        <v>0</v>
      </c>
      <c r="AL40" s="16"/>
      <c r="AM40" s="16"/>
    </row>
    <row r="41" spans="2:39" ht="20.100000000000001" customHeight="1" x14ac:dyDescent="0.3">
      <c r="B41" s="36">
        <f t="shared" si="2"/>
        <v>37</v>
      </c>
      <c r="C41" s="62"/>
      <c r="D41" s="56"/>
      <c r="E41" s="94">
        <f>COUNTIF('261001'!$C$18:$C$47,$C41)+COUNTIF('261001'!$I$18:$I$47,$C41)</f>
        <v>0</v>
      </c>
      <c r="F41" s="94">
        <f>COUNTIF('261002'!$C$18:$C$47,$C41)+COUNTIF('261002'!$I$18:$I$47,$C41)</f>
        <v>0</v>
      </c>
      <c r="G41" s="94">
        <f>COUNTIF('261003'!$C$18:$C$47,$C41)+COUNTIF('261003'!$I$18:$I$47,$C41)</f>
        <v>0</v>
      </c>
      <c r="H41" s="94">
        <f>COUNTIF('261004'!$C$18:$C$47,$C41)+COUNTIF('261004'!$I$18:$I$47,$C41)</f>
        <v>0</v>
      </c>
      <c r="I41" s="94">
        <f>COUNTIF('261005'!$C$18:$C$47,$C41)+COUNTIF('261005'!$I$18:$I$47,$C41)</f>
        <v>0</v>
      </c>
      <c r="J41" s="94">
        <f>COUNTIF('261006'!$C$18:$C$47,$C41)+COUNTIF('261006'!$I$18:$I$47,$C41)</f>
        <v>0</v>
      </c>
      <c r="K41" s="94">
        <f>COUNTIF('261007'!$C$18:$C$47,$C41)+COUNTIF('261007'!$I$18:$I$47,$C41)</f>
        <v>0</v>
      </c>
      <c r="L41" s="94">
        <f>COUNTIF('261008'!$C$18:$C$47,$C41)+COUNTIF('261008'!$I$18:$I$47,$C41)</f>
        <v>0</v>
      </c>
      <c r="M41" s="94">
        <f>COUNTIF('261009'!$C$18:$C$47,$C41)+COUNTIF('261009'!$I$18:$I$47,$C41)</f>
        <v>0</v>
      </c>
      <c r="N41" s="94">
        <f>COUNTIF('261010'!$C$18:$C$47,$C41)+COUNTIF('261010'!$I$18:$I$47,$C41)</f>
        <v>0</v>
      </c>
      <c r="O41" s="94">
        <f>COUNTIF('261011'!$C$18:$C$47,$C41)+COUNTIF('261011'!$I$18:$I$47,$C41)</f>
        <v>0</v>
      </c>
      <c r="P41" s="94">
        <f>COUNTIF('261012'!$C$18:$C$47,$C41)+COUNTIF('261012'!$I$18:$I$47,$C41)</f>
        <v>0</v>
      </c>
      <c r="Q41" s="94">
        <f>COUNTIF('261013'!$C$18:$C$47,$C41)+COUNTIF('261013'!$I$18:$I$47,$C41)</f>
        <v>0</v>
      </c>
      <c r="R41" s="94">
        <f>COUNTIF('261014'!$C$18:$C$47,$C41)+COUNTIF('261014'!$I$18:$I$47,$C41)</f>
        <v>0</v>
      </c>
      <c r="S41" s="94">
        <f>COUNTIF('261015'!$C$18:$C$47,$C41)+COUNTIF('261015'!$I$18:$I$47,$C41)</f>
        <v>0</v>
      </c>
      <c r="T41" s="94">
        <f>COUNTIF('261016'!$C$18:$C$47,$C41)+COUNTIF('261016'!$I$18:$I$47,$C41)</f>
        <v>0</v>
      </c>
      <c r="U41" s="94">
        <f>COUNTIF('261017'!$C$18:$C$47,$C41)+COUNTIF('261017'!$I$18:$I$47,$C41)</f>
        <v>0</v>
      </c>
      <c r="V41" s="94">
        <f>COUNTIF('261018'!$C$18:$C$47,$C41)+COUNTIF('261018'!$I$18:$I$47,$C41)</f>
        <v>0</v>
      </c>
      <c r="W41" s="94">
        <f>COUNTIF('261019'!$C$18:$C$47,$C41)+COUNTIF('261019'!$I$18:$I$47,$C41)</f>
        <v>0</v>
      </c>
      <c r="X41" s="94">
        <f>COUNTIF('261020'!$C$18:$C$47,$C41)+COUNTIF('261020'!$I$18:$I$47,$C41)</f>
        <v>0</v>
      </c>
      <c r="Y41" s="94">
        <f>COUNTIF('261021'!$C$18:$C$47,$C41)+COUNTIF('261021'!$I$18:$I$47,$C41)</f>
        <v>0</v>
      </c>
      <c r="Z41" s="94">
        <f>COUNTIF('261022'!$C$18:$C$47,$C41)+COUNTIF('261022'!$I$18:$I$47,$C41)</f>
        <v>0</v>
      </c>
      <c r="AA41" s="94">
        <f>COUNTIF('261023'!$C$18:$C$47,$C41)+COUNTIF('261023'!$I$18:$I$47,$C41)</f>
        <v>0</v>
      </c>
      <c r="AB41" s="94">
        <f>COUNTIF('261024'!$C$18:$C$47,$C41)+COUNTIF('261024'!$I$18:$I$47,$C41)</f>
        <v>0</v>
      </c>
      <c r="AC41" s="94">
        <f>COUNTIF('261025'!$C$18:$C$47,$C41)+COUNTIF('261025'!$I$18:$I$47,$C41)</f>
        <v>0</v>
      </c>
      <c r="AD41" s="94">
        <f>COUNTIF('261026'!$C$18:$C$47,$C41)+COUNTIF('261026'!$I$18:$I$47,$C41)</f>
        <v>0</v>
      </c>
      <c r="AE41" s="94">
        <f>COUNTIF('261027'!$C$18:$C$47,$C41)+COUNTIF('261027'!$I$18:$I$47,$C41)</f>
        <v>0</v>
      </c>
      <c r="AF41" s="94">
        <f>COUNTIF('261028'!$C$18:$C$47,$C41)+COUNTIF('261028'!$I$18:$I$47,$C41)</f>
        <v>0</v>
      </c>
      <c r="AG41" s="94">
        <f>COUNTIF('261029'!$C$18:$C$47,$C41)+COUNTIF('261029'!$I$18:$I$47,$C41)</f>
        <v>0</v>
      </c>
      <c r="AH41" s="94">
        <f>COUNTIF('261030'!$C$18:$C$47,$C41)+COUNTIF('261030'!$I$18:$I$47,$C41)</f>
        <v>0</v>
      </c>
      <c r="AI41" s="94">
        <f>COUNTIF('261031'!$C$18:$C$47,$C41)+COUNTIF('261031'!$I$18:$I$47,$C41)</f>
        <v>0</v>
      </c>
      <c r="AJ41" s="108">
        <f t="shared" si="3"/>
        <v>0</v>
      </c>
      <c r="AL41" s="16"/>
      <c r="AM41" s="16"/>
    </row>
    <row r="42" spans="2:39" ht="20.100000000000001" customHeight="1" x14ac:dyDescent="0.3">
      <c r="B42" s="36">
        <f t="shared" si="2"/>
        <v>38</v>
      </c>
      <c r="C42" s="62"/>
      <c r="D42" s="56"/>
      <c r="E42" s="94">
        <f>COUNTIF('261001'!$C$18:$C$47,$C42)+COUNTIF('261001'!$I$18:$I$47,$C42)</f>
        <v>0</v>
      </c>
      <c r="F42" s="94">
        <f>COUNTIF('261002'!$C$18:$C$47,$C42)+COUNTIF('261002'!$I$18:$I$47,$C42)</f>
        <v>0</v>
      </c>
      <c r="G42" s="94">
        <f>COUNTIF('261003'!$C$18:$C$47,$C42)+COUNTIF('261003'!$I$18:$I$47,$C42)</f>
        <v>0</v>
      </c>
      <c r="H42" s="94">
        <f>COUNTIF('261004'!$C$18:$C$47,$C42)+COUNTIF('261004'!$I$18:$I$47,$C42)</f>
        <v>0</v>
      </c>
      <c r="I42" s="94">
        <f>COUNTIF('261005'!$C$18:$C$47,$C42)+COUNTIF('261005'!$I$18:$I$47,$C42)</f>
        <v>0</v>
      </c>
      <c r="J42" s="94">
        <f>COUNTIF('261006'!$C$18:$C$47,$C42)+COUNTIF('261006'!$I$18:$I$47,$C42)</f>
        <v>0</v>
      </c>
      <c r="K42" s="94">
        <f>COUNTIF('261007'!$C$18:$C$47,$C42)+COUNTIF('261007'!$I$18:$I$47,$C42)</f>
        <v>0</v>
      </c>
      <c r="L42" s="94">
        <f>COUNTIF('261008'!$C$18:$C$47,$C42)+COUNTIF('261008'!$I$18:$I$47,$C42)</f>
        <v>0</v>
      </c>
      <c r="M42" s="94">
        <f>COUNTIF('261009'!$C$18:$C$47,$C42)+COUNTIF('261009'!$I$18:$I$47,$C42)</f>
        <v>0</v>
      </c>
      <c r="N42" s="94">
        <f>COUNTIF('261010'!$C$18:$C$47,$C42)+COUNTIF('261010'!$I$18:$I$47,$C42)</f>
        <v>0</v>
      </c>
      <c r="O42" s="94">
        <f>COUNTIF('261011'!$C$18:$C$47,$C42)+COUNTIF('261011'!$I$18:$I$47,$C42)</f>
        <v>0</v>
      </c>
      <c r="P42" s="94">
        <f>COUNTIF('261012'!$C$18:$C$47,$C42)+COUNTIF('261012'!$I$18:$I$47,$C42)</f>
        <v>0</v>
      </c>
      <c r="Q42" s="94">
        <f>COUNTIF('261013'!$C$18:$C$47,$C42)+COUNTIF('261013'!$I$18:$I$47,$C42)</f>
        <v>0</v>
      </c>
      <c r="R42" s="94">
        <f>COUNTIF('261014'!$C$18:$C$47,$C42)+COUNTIF('261014'!$I$18:$I$47,$C42)</f>
        <v>0</v>
      </c>
      <c r="S42" s="94">
        <f>COUNTIF('261015'!$C$18:$C$47,$C42)+COUNTIF('261015'!$I$18:$I$47,$C42)</f>
        <v>0</v>
      </c>
      <c r="T42" s="94">
        <f>COUNTIF('261016'!$C$18:$C$47,$C42)+COUNTIF('261016'!$I$18:$I$47,$C42)</f>
        <v>0</v>
      </c>
      <c r="U42" s="94">
        <f>COUNTIF('261017'!$C$18:$C$47,$C42)+COUNTIF('261017'!$I$18:$I$47,$C42)</f>
        <v>0</v>
      </c>
      <c r="V42" s="94">
        <f>COUNTIF('261018'!$C$18:$C$47,$C42)+COUNTIF('261018'!$I$18:$I$47,$C42)</f>
        <v>0</v>
      </c>
      <c r="W42" s="94">
        <f>COUNTIF('261019'!$C$18:$C$47,$C42)+COUNTIF('261019'!$I$18:$I$47,$C42)</f>
        <v>0</v>
      </c>
      <c r="X42" s="94">
        <f>COUNTIF('261020'!$C$18:$C$47,$C42)+COUNTIF('261020'!$I$18:$I$47,$C42)</f>
        <v>0</v>
      </c>
      <c r="Y42" s="94">
        <f>COUNTIF('261021'!$C$18:$C$47,$C42)+COUNTIF('261021'!$I$18:$I$47,$C42)</f>
        <v>0</v>
      </c>
      <c r="Z42" s="94">
        <f>COUNTIF('261022'!$C$18:$C$47,$C42)+COUNTIF('261022'!$I$18:$I$47,$C42)</f>
        <v>0</v>
      </c>
      <c r="AA42" s="94">
        <f>COUNTIF('261023'!$C$18:$C$47,$C42)+COUNTIF('261023'!$I$18:$I$47,$C42)</f>
        <v>0</v>
      </c>
      <c r="AB42" s="94">
        <f>COUNTIF('261024'!$C$18:$C$47,$C42)+COUNTIF('261024'!$I$18:$I$47,$C42)</f>
        <v>0</v>
      </c>
      <c r="AC42" s="94">
        <f>COUNTIF('261025'!$C$18:$C$47,$C42)+COUNTIF('261025'!$I$18:$I$47,$C42)</f>
        <v>0</v>
      </c>
      <c r="AD42" s="94">
        <f>COUNTIF('261026'!$C$18:$C$47,$C42)+COUNTIF('261026'!$I$18:$I$47,$C42)</f>
        <v>0</v>
      </c>
      <c r="AE42" s="94">
        <f>COUNTIF('261027'!$C$18:$C$47,$C42)+COUNTIF('261027'!$I$18:$I$47,$C42)</f>
        <v>0</v>
      </c>
      <c r="AF42" s="94">
        <f>COUNTIF('261028'!$C$18:$C$47,$C42)+COUNTIF('261028'!$I$18:$I$47,$C42)</f>
        <v>0</v>
      </c>
      <c r="AG42" s="94">
        <f>COUNTIF('261029'!$C$18:$C$47,$C42)+COUNTIF('261029'!$I$18:$I$47,$C42)</f>
        <v>0</v>
      </c>
      <c r="AH42" s="94">
        <f>COUNTIF('261030'!$C$18:$C$47,$C42)+COUNTIF('261030'!$I$18:$I$47,$C42)</f>
        <v>0</v>
      </c>
      <c r="AI42" s="94">
        <f>COUNTIF('261031'!$C$18:$C$47,$C42)+COUNTIF('261031'!$I$18:$I$47,$C42)</f>
        <v>0</v>
      </c>
      <c r="AJ42" s="108">
        <f t="shared" si="3"/>
        <v>0</v>
      </c>
      <c r="AL42" s="16"/>
      <c r="AM42" s="16"/>
    </row>
    <row r="43" spans="2:39" ht="20.100000000000001" customHeight="1" x14ac:dyDescent="0.3">
      <c r="B43" s="36">
        <f t="shared" si="2"/>
        <v>39</v>
      </c>
      <c r="C43" s="62"/>
      <c r="D43" s="56"/>
      <c r="E43" s="94">
        <f>COUNTIF('261001'!$C$18:$C$47,$C43)+COUNTIF('261001'!$I$18:$I$47,$C43)</f>
        <v>0</v>
      </c>
      <c r="F43" s="94">
        <f>COUNTIF('261002'!$C$18:$C$47,$C43)+COUNTIF('261002'!$I$18:$I$47,$C43)</f>
        <v>0</v>
      </c>
      <c r="G43" s="94">
        <f>COUNTIF('261003'!$C$18:$C$47,$C43)+COUNTIF('261003'!$I$18:$I$47,$C43)</f>
        <v>0</v>
      </c>
      <c r="H43" s="94">
        <f>COUNTIF('261004'!$C$18:$C$47,$C43)+COUNTIF('261004'!$I$18:$I$47,$C43)</f>
        <v>0</v>
      </c>
      <c r="I43" s="94">
        <f>COUNTIF('261005'!$C$18:$C$47,$C43)+COUNTIF('261005'!$I$18:$I$47,$C43)</f>
        <v>0</v>
      </c>
      <c r="J43" s="94">
        <f>COUNTIF('261006'!$C$18:$C$47,$C43)+COUNTIF('261006'!$I$18:$I$47,$C43)</f>
        <v>0</v>
      </c>
      <c r="K43" s="94">
        <f>COUNTIF('261007'!$C$18:$C$47,$C43)+COUNTIF('261007'!$I$18:$I$47,$C43)</f>
        <v>0</v>
      </c>
      <c r="L43" s="94">
        <f>COUNTIF('261008'!$C$18:$C$47,$C43)+COUNTIF('261008'!$I$18:$I$47,$C43)</f>
        <v>0</v>
      </c>
      <c r="M43" s="94">
        <f>COUNTIF('261009'!$C$18:$C$47,$C43)+COUNTIF('261009'!$I$18:$I$47,$C43)</f>
        <v>0</v>
      </c>
      <c r="N43" s="94">
        <f>COUNTIF('261010'!$C$18:$C$47,$C43)+COUNTIF('261010'!$I$18:$I$47,$C43)</f>
        <v>0</v>
      </c>
      <c r="O43" s="94">
        <f>COUNTIF('261011'!$C$18:$C$47,$C43)+COUNTIF('261011'!$I$18:$I$47,$C43)</f>
        <v>0</v>
      </c>
      <c r="P43" s="94">
        <f>COUNTIF('261012'!$C$18:$C$47,$C43)+COUNTIF('261012'!$I$18:$I$47,$C43)</f>
        <v>0</v>
      </c>
      <c r="Q43" s="94">
        <f>COUNTIF('261013'!$C$18:$C$47,$C43)+COUNTIF('261013'!$I$18:$I$47,$C43)</f>
        <v>0</v>
      </c>
      <c r="R43" s="94">
        <f>COUNTIF('261014'!$C$18:$C$47,$C43)+COUNTIF('261014'!$I$18:$I$47,$C43)</f>
        <v>0</v>
      </c>
      <c r="S43" s="94">
        <f>COUNTIF('261015'!$C$18:$C$47,$C43)+COUNTIF('261015'!$I$18:$I$47,$C43)</f>
        <v>0</v>
      </c>
      <c r="T43" s="94">
        <f>COUNTIF('261016'!$C$18:$C$47,$C43)+COUNTIF('261016'!$I$18:$I$47,$C43)</f>
        <v>0</v>
      </c>
      <c r="U43" s="94">
        <f>COUNTIF('261017'!$C$18:$C$47,$C43)+COUNTIF('261017'!$I$18:$I$47,$C43)</f>
        <v>0</v>
      </c>
      <c r="V43" s="94">
        <f>COUNTIF('261018'!$C$18:$C$47,$C43)+COUNTIF('261018'!$I$18:$I$47,$C43)</f>
        <v>0</v>
      </c>
      <c r="W43" s="94">
        <f>COUNTIF('261019'!$C$18:$C$47,$C43)+COUNTIF('261019'!$I$18:$I$47,$C43)</f>
        <v>0</v>
      </c>
      <c r="X43" s="94">
        <f>COUNTIF('261020'!$C$18:$C$47,$C43)+COUNTIF('261020'!$I$18:$I$47,$C43)</f>
        <v>0</v>
      </c>
      <c r="Y43" s="94">
        <f>COUNTIF('261021'!$C$18:$C$47,$C43)+COUNTIF('261021'!$I$18:$I$47,$C43)</f>
        <v>0</v>
      </c>
      <c r="Z43" s="94">
        <f>COUNTIF('261022'!$C$18:$C$47,$C43)+COUNTIF('261022'!$I$18:$I$47,$C43)</f>
        <v>0</v>
      </c>
      <c r="AA43" s="94">
        <f>COUNTIF('261023'!$C$18:$C$47,$C43)+COUNTIF('261023'!$I$18:$I$47,$C43)</f>
        <v>0</v>
      </c>
      <c r="AB43" s="94">
        <f>COUNTIF('261024'!$C$18:$C$47,$C43)+COUNTIF('261024'!$I$18:$I$47,$C43)</f>
        <v>0</v>
      </c>
      <c r="AC43" s="94">
        <f>COUNTIF('261025'!$C$18:$C$47,$C43)+COUNTIF('261025'!$I$18:$I$47,$C43)</f>
        <v>0</v>
      </c>
      <c r="AD43" s="94">
        <f>COUNTIF('261026'!$C$18:$C$47,$C43)+COUNTIF('261026'!$I$18:$I$47,$C43)</f>
        <v>0</v>
      </c>
      <c r="AE43" s="94">
        <f>COUNTIF('261027'!$C$18:$C$47,$C43)+COUNTIF('261027'!$I$18:$I$47,$C43)</f>
        <v>0</v>
      </c>
      <c r="AF43" s="94">
        <f>COUNTIF('261028'!$C$18:$C$47,$C43)+COUNTIF('261028'!$I$18:$I$47,$C43)</f>
        <v>0</v>
      </c>
      <c r="AG43" s="94">
        <f>COUNTIF('261029'!$C$18:$C$47,$C43)+COUNTIF('261029'!$I$18:$I$47,$C43)</f>
        <v>0</v>
      </c>
      <c r="AH43" s="94">
        <f>COUNTIF('261030'!$C$18:$C$47,$C43)+COUNTIF('261030'!$I$18:$I$47,$C43)</f>
        <v>0</v>
      </c>
      <c r="AI43" s="94">
        <f>COUNTIF('261031'!$C$18:$C$47,$C43)+COUNTIF('261031'!$I$18:$I$47,$C43)</f>
        <v>0</v>
      </c>
      <c r="AJ43" s="108">
        <f t="shared" si="3"/>
        <v>0</v>
      </c>
      <c r="AL43" s="16"/>
      <c r="AM43" s="16"/>
    </row>
    <row r="44" spans="2:39" ht="20.100000000000001" customHeight="1" x14ac:dyDescent="0.3">
      <c r="B44" s="36">
        <f t="shared" si="2"/>
        <v>40</v>
      </c>
      <c r="C44" s="62"/>
      <c r="D44" s="56"/>
      <c r="E44" s="94">
        <f>COUNTIF('261001'!$C$18:$C$47,$C44)+COUNTIF('261001'!$I$18:$I$47,$C44)</f>
        <v>0</v>
      </c>
      <c r="F44" s="94">
        <f>COUNTIF('261002'!$C$18:$C$47,$C44)+COUNTIF('261002'!$I$18:$I$47,$C44)</f>
        <v>0</v>
      </c>
      <c r="G44" s="94">
        <f>COUNTIF('261003'!$C$18:$C$47,$C44)+COUNTIF('261003'!$I$18:$I$47,$C44)</f>
        <v>0</v>
      </c>
      <c r="H44" s="94">
        <f>COUNTIF('261004'!$C$18:$C$47,$C44)+COUNTIF('261004'!$I$18:$I$47,$C44)</f>
        <v>0</v>
      </c>
      <c r="I44" s="94">
        <f>COUNTIF('261005'!$C$18:$C$47,$C44)+COUNTIF('261005'!$I$18:$I$47,$C44)</f>
        <v>0</v>
      </c>
      <c r="J44" s="94">
        <f>COUNTIF('261006'!$C$18:$C$47,$C44)+COUNTIF('261006'!$I$18:$I$47,$C44)</f>
        <v>0</v>
      </c>
      <c r="K44" s="94">
        <f>COUNTIF('261007'!$C$18:$C$47,$C44)+COUNTIF('261007'!$I$18:$I$47,$C44)</f>
        <v>0</v>
      </c>
      <c r="L44" s="94">
        <f>COUNTIF('261008'!$C$18:$C$47,$C44)+COUNTIF('261008'!$I$18:$I$47,$C44)</f>
        <v>0</v>
      </c>
      <c r="M44" s="94">
        <f>COUNTIF('261009'!$C$18:$C$47,$C44)+COUNTIF('261009'!$I$18:$I$47,$C44)</f>
        <v>0</v>
      </c>
      <c r="N44" s="94">
        <f>COUNTIF('261010'!$C$18:$C$47,$C44)+COUNTIF('261010'!$I$18:$I$47,$C44)</f>
        <v>0</v>
      </c>
      <c r="O44" s="94">
        <f>COUNTIF('261011'!$C$18:$C$47,$C44)+COUNTIF('261011'!$I$18:$I$47,$C44)</f>
        <v>0</v>
      </c>
      <c r="P44" s="94">
        <f>COUNTIF('261012'!$C$18:$C$47,$C44)+COUNTIF('261012'!$I$18:$I$47,$C44)</f>
        <v>0</v>
      </c>
      <c r="Q44" s="94">
        <f>COUNTIF('261013'!$C$18:$C$47,$C44)+COUNTIF('261013'!$I$18:$I$47,$C44)</f>
        <v>0</v>
      </c>
      <c r="R44" s="94">
        <f>COUNTIF('261014'!$C$18:$C$47,$C44)+COUNTIF('261014'!$I$18:$I$47,$C44)</f>
        <v>0</v>
      </c>
      <c r="S44" s="94">
        <f>COUNTIF('261015'!$C$18:$C$47,$C44)+COUNTIF('261015'!$I$18:$I$47,$C44)</f>
        <v>0</v>
      </c>
      <c r="T44" s="94">
        <f>COUNTIF('261016'!$C$18:$C$47,$C44)+COUNTIF('261016'!$I$18:$I$47,$C44)</f>
        <v>0</v>
      </c>
      <c r="U44" s="94">
        <f>COUNTIF('261017'!$C$18:$C$47,$C44)+COUNTIF('261017'!$I$18:$I$47,$C44)</f>
        <v>0</v>
      </c>
      <c r="V44" s="94">
        <f>COUNTIF('261018'!$C$18:$C$47,$C44)+COUNTIF('261018'!$I$18:$I$47,$C44)</f>
        <v>0</v>
      </c>
      <c r="W44" s="94">
        <f>COUNTIF('261019'!$C$18:$C$47,$C44)+COUNTIF('261019'!$I$18:$I$47,$C44)</f>
        <v>0</v>
      </c>
      <c r="X44" s="94">
        <f>COUNTIF('261020'!$C$18:$C$47,$C44)+COUNTIF('261020'!$I$18:$I$47,$C44)</f>
        <v>0</v>
      </c>
      <c r="Y44" s="94">
        <f>COUNTIF('261021'!$C$18:$C$47,$C44)+COUNTIF('261021'!$I$18:$I$47,$C44)</f>
        <v>0</v>
      </c>
      <c r="Z44" s="94">
        <f>COUNTIF('261022'!$C$18:$C$47,$C44)+COUNTIF('261022'!$I$18:$I$47,$C44)</f>
        <v>0</v>
      </c>
      <c r="AA44" s="94">
        <f>COUNTIF('261023'!$C$18:$C$47,$C44)+COUNTIF('261023'!$I$18:$I$47,$C44)</f>
        <v>0</v>
      </c>
      <c r="AB44" s="94">
        <f>COUNTIF('261024'!$C$18:$C$47,$C44)+COUNTIF('261024'!$I$18:$I$47,$C44)</f>
        <v>0</v>
      </c>
      <c r="AC44" s="94">
        <f>COUNTIF('261025'!$C$18:$C$47,$C44)+COUNTIF('261025'!$I$18:$I$47,$C44)</f>
        <v>0</v>
      </c>
      <c r="AD44" s="94">
        <f>COUNTIF('261026'!$C$18:$C$47,$C44)+COUNTIF('261026'!$I$18:$I$47,$C44)</f>
        <v>0</v>
      </c>
      <c r="AE44" s="94">
        <f>COUNTIF('261027'!$C$18:$C$47,$C44)+COUNTIF('261027'!$I$18:$I$47,$C44)</f>
        <v>0</v>
      </c>
      <c r="AF44" s="94">
        <f>COUNTIF('261028'!$C$18:$C$47,$C44)+COUNTIF('261028'!$I$18:$I$47,$C44)</f>
        <v>0</v>
      </c>
      <c r="AG44" s="94">
        <f>COUNTIF('261029'!$C$18:$C$47,$C44)+COUNTIF('261029'!$I$18:$I$47,$C44)</f>
        <v>0</v>
      </c>
      <c r="AH44" s="94">
        <f>COUNTIF('261030'!$C$18:$C$47,$C44)+COUNTIF('261030'!$I$18:$I$47,$C44)</f>
        <v>0</v>
      </c>
      <c r="AI44" s="94">
        <f>COUNTIF('261031'!$C$18:$C$47,$C44)+COUNTIF('261031'!$I$18:$I$47,$C44)</f>
        <v>0</v>
      </c>
      <c r="AJ44" s="108">
        <f t="shared" si="3"/>
        <v>0</v>
      </c>
      <c r="AL44" s="16"/>
      <c r="AM44" s="16"/>
    </row>
    <row r="45" spans="2:39" ht="20.100000000000001" customHeight="1" x14ac:dyDescent="0.3">
      <c r="B45" s="36">
        <f t="shared" si="2"/>
        <v>41</v>
      </c>
      <c r="C45" s="62"/>
      <c r="D45" s="56"/>
      <c r="E45" s="94">
        <f>COUNTIF('261001'!$C$18:$C$47,$C45)+COUNTIF('261001'!$I$18:$I$47,$C45)</f>
        <v>0</v>
      </c>
      <c r="F45" s="94">
        <f>COUNTIF('261002'!$C$18:$C$47,$C45)+COUNTIF('261002'!$I$18:$I$47,$C45)</f>
        <v>0</v>
      </c>
      <c r="G45" s="94">
        <f>COUNTIF('261003'!$C$18:$C$47,$C45)+COUNTIF('261003'!$I$18:$I$47,$C45)</f>
        <v>0</v>
      </c>
      <c r="H45" s="94">
        <f>COUNTIF('261004'!$C$18:$C$47,$C45)+COUNTIF('261004'!$I$18:$I$47,$C45)</f>
        <v>0</v>
      </c>
      <c r="I45" s="94">
        <f>COUNTIF('261005'!$C$18:$C$47,$C45)+COUNTIF('261005'!$I$18:$I$47,$C45)</f>
        <v>0</v>
      </c>
      <c r="J45" s="94">
        <f>COUNTIF('261006'!$C$18:$C$47,$C45)+COUNTIF('261006'!$I$18:$I$47,$C45)</f>
        <v>0</v>
      </c>
      <c r="K45" s="94">
        <f>COUNTIF('261007'!$C$18:$C$47,$C45)+COUNTIF('261007'!$I$18:$I$47,$C45)</f>
        <v>0</v>
      </c>
      <c r="L45" s="94">
        <f>COUNTIF('261008'!$C$18:$C$47,$C45)+COUNTIF('261008'!$I$18:$I$47,$C45)</f>
        <v>0</v>
      </c>
      <c r="M45" s="94">
        <f>COUNTIF('261009'!$C$18:$C$47,$C45)+COUNTIF('261009'!$I$18:$I$47,$C45)</f>
        <v>0</v>
      </c>
      <c r="N45" s="94">
        <f>COUNTIF('261010'!$C$18:$C$47,$C45)+COUNTIF('261010'!$I$18:$I$47,$C45)</f>
        <v>0</v>
      </c>
      <c r="O45" s="94">
        <f>COUNTIF('261011'!$C$18:$C$47,$C45)+COUNTIF('261011'!$I$18:$I$47,$C45)</f>
        <v>0</v>
      </c>
      <c r="P45" s="94">
        <f>COUNTIF('261012'!$C$18:$C$47,$C45)+COUNTIF('261012'!$I$18:$I$47,$C45)</f>
        <v>0</v>
      </c>
      <c r="Q45" s="94">
        <f>COUNTIF('261013'!$C$18:$C$47,$C45)+COUNTIF('261013'!$I$18:$I$47,$C45)</f>
        <v>0</v>
      </c>
      <c r="R45" s="94">
        <f>COUNTIF('261014'!$C$18:$C$47,$C45)+COUNTIF('261014'!$I$18:$I$47,$C45)</f>
        <v>0</v>
      </c>
      <c r="S45" s="94">
        <f>COUNTIF('261015'!$C$18:$C$47,$C45)+COUNTIF('261015'!$I$18:$I$47,$C45)</f>
        <v>0</v>
      </c>
      <c r="T45" s="94">
        <f>COUNTIF('261016'!$C$18:$C$47,$C45)+COUNTIF('261016'!$I$18:$I$47,$C45)</f>
        <v>0</v>
      </c>
      <c r="U45" s="94">
        <f>COUNTIF('261017'!$C$18:$C$47,$C45)+COUNTIF('261017'!$I$18:$I$47,$C45)</f>
        <v>0</v>
      </c>
      <c r="V45" s="94">
        <f>COUNTIF('261018'!$C$18:$C$47,$C45)+COUNTIF('261018'!$I$18:$I$47,$C45)</f>
        <v>0</v>
      </c>
      <c r="W45" s="94">
        <f>COUNTIF('261019'!$C$18:$C$47,$C45)+COUNTIF('261019'!$I$18:$I$47,$C45)</f>
        <v>0</v>
      </c>
      <c r="X45" s="94">
        <f>COUNTIF('261020'!$C$18:$C$47,$C45)+COUNTIF('261020'!$I$18:$I$47,$C45)</f>
        <v>0</v>
      </c>
      <c r="Y45" s="94">
        <f>COUNTIF('261021'!$C$18:$C$47,$C45)+COUNTIF('261021'!$I$18:$I$47,$C45)</f>
        <v>0</v>
      </c>
      <c r="Z45" s="94">
        <f>COUNTIF('261022'!$C$18:$C$47,$C45)+COUNTIF('261022'!$I$18:$I$47,$C45)</f>
        <v>0</v>
      </c>
      <c r="AA45" s="94">
        <f>COUNTIF('261023'!$C$18:$C$47,$C45)+COUNTIF('261023'!$I$18:$I$47,$C45)</f>
        <v>0</v>
      </c>
      <c r="AB45" s="94">
        <f>COUNTIF('261024'!$C$18:$C$47,$C45)+COUNTIF('261024'!$I$18:$I$47,$C45)</f>
        <v>0</v>
      </c>
      <c r="AC45" s="94">
        <f>COUNTIF('261025'!$C$18:$C$47,$C45)+COUNTIF('261025'!$I$18:$I$47,$C45)</f>
        <v>0</v>
      </c>
      <c r="AD45" s="94">
        <f>COUNTIF('261026'!$C$18:$C$47,$C45)+COUNTIF('261026'!$I$18:$I$47,$C45)</f>
        <v>0</v>
      </c>
      <c r="AE45" s="94">
        <f>COUNTIF('261027'!$C$18:$C$47,$C45)+COUNTIF('261027'!$I$18:$I$47,$C45)</f>
        <v>0</v>
      </c>
      <c r="AF45" s="94">
        <f>COUNTIF('261028'!$C$18:$C$47,$C45)+COUNTIF('261028'!$I$18:$I$47,$C45)</f>
        <v>0</v>
      </c>
      <c r="AG45" s="94">
        <f>COUNTIF('261029'!$C$18:$C$47,$C45)+COUNTIF('261029'!$I$18:$I$47,$C45)</f>
        <v>0</v>
      </c>
      <c r="AH45" s="94">
        <f>COUNTIF('261030'!$C$18:$C$47,$C45)+COUNTIF('261030'!$I$18:$I$47,$C45)</f>
        <v>0</v>
      </c>
      <c r="AI45" s="94">
        <f>COUNTIF('261031'!$C$18:$C$47,$C45)+COUNTIF('261031'!$I$18:$I$47,$C45)</f>
        <v>0</v>
      </c>
      <c r="AJ45" s="108">
        <f t="shared" si="3"/>
        <v>0</v>
      </c>
      <c r="AL45" s="16"/>
      <c r="AM45" s="16"/>
    </row>
    <row r="46" spans="2:39" ht="20.100000000000001" customHeight="1" x14ac:dyDescent="0.3">
      <c r="B46" s="36">
        <f t="shared" si="2"/>
        <v>42</v>
      </c>
      <c r="C46" s="62"/>
      <c r="D46" s="56"/>
      <c r="E46" s="94">
        <f>COUNTIF('261001'!$C$18:$C$47,$C46)+COUNTIF('261001'!$I$18:$I$47,$C46)</f>
        <v>0</v>
      </c>
      <c r="F46" s="94">
        <f>COUNTIF('261002'!$C$18:$C$47,$C46)+COUNTIF('261002'!$I$18:$I$47,$C46)</f>
        <v>0</v>
      </c>
      <c r="G46" s="94">
        <f>COUNTIF('261003'!$C$18:$C$47,$C46)+COUNTIF('261003'!$I$18:$I$47,$C46)</f>
        <v>0</v>
      </c>
      <c r="H46" s="94">
        <f>COUNTIF('261004'!$C$18:$C$47,$C46)+COUNTIF('261004'!$I$18:$I$47,$C46)</f>
        <v>0</v>
      </c>
      <c r="I46" s="94">
        <f>COUNTIF('261005'!$C$18:$C$47,$C46)+COUNTIF('261005'!$I$18:$I$47,$C46)</f>
        <v>0</v>
      </c>
      <c r="J46" s="94">
        <f>COUNTIF('261006'!$C$18:$C$47,$C46)+COUNTIF('261006'!$I$18:$I$47,$C46)</f>
        <v>0</v>
      </c>
      <c r="K46" s="94">
        <f>COUNTIF('261007'!$C$18:$C$47,$C46)+COUNTIF('261007'!$I$18:$I$47,$C46)</f>
        <v>0</v>
      </c>
      <c r="L46" s="94">
        <f>COUNTIF('261008'!$C$18:$C$47,$C46)+COUNTIF('261008'!$I$18:$I$47,$C46)</f>
        <v>0</v>
      </c>
      <c r="M46" s="94">
        <f>COUNTIF('261009'!$C$18:$C$47,$C46)+COUNTIF('261009'!$I$18:$I$47,$C46)</f>
        <v>0</v>
      </c>
      <c r="N46" s="94">
        <f>COUNTIF('261010'!$C$18:$C$47,$C46)+COUNTIF('261010'!$I$18:$I$47,$C46)</f>
        <v>0</v>
      </c>
      <c r="O46" s="94">
        <f>COUNTIF('261011'!$C$18:$C$47,$C46)+COUNTIF('261011'!$I$18:$I$47,$C46)</f>
        <v>0</v>
      </c>
      <c r="P46" s="94">
        <f>COUNTIF('261012'!$C$18:$C$47,$C46)+COUNTIF('261012'!$I$18:$I$47,$C46)</f>
        <v>0</v>
      </c>
      <c r="Q46" s="94">
        <f>COUNTIF('261013'!$C$18:$C$47,$C46)+COUNTIF('261013'!$I$18:$I$47,$C46)</f>
        <v>0</v>
      </c>
      <c r="R46" s="94">
        <f>COUNTIF('261014'!$C$18:$C$47,$C46)+COUNTIF('261014'!$I$18:$I$47,$C46)</f>
        <v>0</v>
      </c>
      <c r="S46" s="94">
        <f>COUNTIF('261015'!$C$18:$C$47,$C46)+COUNTIF('261015'!$I$18:$I$47,$C46)</f>
        <v>0</v>
      </c>
      <c r="T46" s="94">
        <f>COUNTIF('261016'!$C$18:$C$47,$C46)+COUNTIF('261016'!$I$18:$I$47,$C46)</f>
        <v>0</v>
      </c>
      <c r="U46" s="94">
        <f>COUNTIF('261017'!$C$18:$C$47,$C46)+COUNTIF('261017'!$I$18:$I$47,$C46)</f>
        <v>0</v>
      </c>
      <c r="V46" s="94">
        <f>COUNTIF('261018'!$C$18:$C$47,$C46)+COUNTIF('261018'!$I$18:$I$47,$C46)</f>
        <v>0</v>
      </c>
      <c r="W46" s="94">
        <f>COUNTIF('261019'!$C$18:$C$47,$C46)+COUNTIF('261019'!$I$18:$I$47,$C46)</f>
        <v>0</v>
      </c>
      <c r="X46" s="94">
        <f>COUNTIF('261020'!$C$18:$C$47,$C46)+COUNTIF('261020'!$I$18:$I$47,$C46)</f>
        <v>0</v>
      </c>
      <c r="Y46" s="94">
        <f>COUNTIF('261021'!$C$18:$C$47,$C46)+COUNTIF('261021'!$I$18:$I$47,$C46)</f>
        <v>0</v>
      </c>
      <c r="Z46" s="94">
        <f>COUNTIF('261022'!$C$18:$C$47,$C46)+COUNTIF('261022'!$I$18:$I$47,$C46)</f>
        <v>0</v>
      </c>
      <c r="AA46" s="94">
        <f>COUNTIF('261023'!$C$18:$C$47,$C46)+COUNTIF('261023'!$I$18:$I$47,$C46)</f>
        <v>0</v>
      </c>
      <c r="AB46" s="94">
        <f>COUNTIF('261024'!$C$18:$C$47,$C46)+COUNTIF('261024'!$I$18:$I$47,$C46)</f>
        <v>0</v>
      </c>
      <c r="AC46" s="94">
        <f>COUNTIF('261025'!$C$18:$C$47,$C46)+COUNTIF('261025'!$I$18:$I$47,$C46)</f>
        <v>0</v>
      </c>
      <c r="AD46" s="94">
        <f>COUNTIF('261026'!$C$18:$C$47,$C46)+COUNTIF('261026'!$I$18:$I$47,$C46)</f>
        <v>0</v>
      </c>
      <c r="AE46" s="94">
        <f>COUNTIF('261027'!$C$18:$C$47,$C46)+COUNTIF('261027'!$I$18:$I$47,$C46)</f>
        <v>0</v>
      </c>
      <c r="AF46" s="94">
        <f>COUNTIF('261028'!$C$18:$C$47,$C46)+COUNTIF('261028'!$I$18:$I$47,$C46)</f>
        <v>0</v>
      </c>
      <c r="AG46" s="94">
        <f>COUNTIF('261029'!$C$18:$C$47,$C46)+COUNTIF('261029'!$I$18:$I$47,$C46)</f>
        <v>0</v>
      </c>
      <c r="AH46" s="94">
        <f>COUNTIF('261030'!$C$18:$C$47,$C46)+COUNTIF('261030'!$I$18:$I$47,$C46)</f>
        <v>0</v>
      </c>
      <c r="AI46" s="94">
        <f>COUNTIF('261031'!$C$18:$C$47,$C46)+COUNTIF('261031'!$I$18:$I$47,$C46)</f>
        <v>0</v>
      </c>
      <c r="AJ46" s="108">
        <f t="shared" si="3"/>
        <v>0</v>
      </c>
      <c r="AL46" s="16"/>
      <c r="AM46" s="16"/>
    </row>
    <row r="47" spans="2:39" ht="20.100000000000001" customHeight="1" x14ac:dyDescent="0.3">
      <c r="B47" s="36">
        <f t="shared" si="2"/>
        <v>43</v>
      </c>
      <c r="C47" s="62"/>
      <c r="D47" s="56"/>
      <c r="E47" s="94">
        <f>COUNTIF('261001'!$C$18:$C$47,$C47)+COUNTIF('261001'!$I$18:$I$47,$C47)</f>
        <v>0</v>
      </c>
      <c r="F47" s="94">
        <f>COUNTIF('261002'!$C$18:$C$47,$C47)+COUNTIF('261002'!$I$18:$I$47,$C47)</f>
        <v>0</v>
      </c>
      <c r="G47" s="94">
        <f>COUNTIF('261003'!$C$18:$C$47,$C47)+COUNTIF('261003'!$I$18:$I$47,$C47)</f>
        <v>0</v>
      </c>
      <c r="H47" s="94">
        <f>COUNTIF('261004'!$C$18:$C$47,$C47)+COUNTIF('261004'!$I$18:$I$47,$C47)</f>
        <v>0</v>
      </c>
      <c r="I47" s="94">
        <f>COUNTIF('261005'!$C$18:$C$47,$C47)+COUNTIF('261005'!$I$18:$I$47,$C47)</f>
        <v>0</v>
      </c>
      <c r="J47" s="94">
        <f>COUNTIF('261006'!$C$18:$C$47,$C47)+COUNTIF('261006'!$I$18:$I$47,$C47)</f>
        <v>0</v>
      </c>
      <c r="K47" s="94">
        <f>COUNTIF('261007'!$C$18:$C$47,$C47)+COUNTIF('261007'!$I$18:$I$47,$C47)</f>
        <v>0</v>
      </c>
      <c r="L47" s="94">
        <f>COUNTIF('261008'!$C$18:$C$47,$C47)+COUNTIF('261008'!$I$18:$I$47,$C47)</f>
        <v>0</v>
      </c>
      <c r="M47" s="94">
        <f>COUNTIF('261009'!$C$18:$C$47,$C47)+COUNTIF('261009'!$I$18:$I$47,$C47)</f>
        <v>0</v>
      </c>
      <c r="N47" s="94">
        <f>COUNTIF('261010'!$C$18:$C$47,$C47)+COUNTIF('261010'!$I$18:$I$47,$C47)</f>
        <v>0</v>
      </c>
      <c r="O47" s="94">
        <f>COUNTIF('261011'!$C$18:$C$47,$C47)+COUNTIF('261011'!$I$18:$I$47,$C47)</f>
        <v>0</v>
      </c>
      <c r="P47" s="94">
        <f>COUNTIF('261012'!$C$18:$C$47,$C47)+COUNTIF('261012'!$I$18:$I$47,$C47)</f>
        <v>0</v>
      </c>
      <c r="Q47" s="94">
        <f>COUNTIF('261013'!$C$18:$C$47,$C47)+COUNTIF('261013'!$I$18:$I$47,$C47)</f>
        <v>0</v>
      </c>
      <c r="R47" s="94">
        <f>COUNTIF('261014'!$C$18:$C$47,$C47)+COUNTIF('261014'!$I$18:$I$47,$C47)</f>
        <v>0</v>
      </c>
      <c r="S47" s="94">
        <f>COUNTIF('261015'!$C$18:$C$47,$C47)+COUNTIF('261015'!$I$18:$I$47,$C47)</f>
        <v>0</v>
      </c>
      <c r="T47" s="94">
        <f>COUNTIF('261016'!$C$18:$C$47,$C47)+COUNTIF('261016'!$I$18:$I$47,$C47)</f>
        <v>0</v>
      </c>
      <c r="U47" s="94">
        <f>COUNTIF('261017'!$C$18:$C$47,$C47)+COUNTIF('261017'!$I$18:$I$47,$C47)</f>
        <v>0</v>
      </c>
      <c r="V47" s="94">
        <f>COUNTIF('261018'!$C$18:$C$47,$C47)+COUNTIF('261018'!$I$18:$I$47,$C47)</f>
        <v>0</v>
      </c>
      <c r="W47" s="94">
        <f>COUNTIF('261019'!$C$18:$C$47,$C47)+COUNTIF('261019'!$I$18:$I$47,$C47)</f>
        <v>0</v>
      </c>
      <c r="X47" s="94">
        <f>COUNTIF('261020'!$C$18:$C$47,$C47)+COUNTIF('261020'!$I$18:$I$47,$C47)</f>
        <v>0</v>
      </c>
      <c r="Y47" s="94">
        <f>COUNTIF('261021'!$C$18:$C$47,$C47)+COUNTIF('261021'!$I$18:$I$47,$C47)</f>
        <v>0</v>
      </c>
      <c r="Z47" s="94">
        <f>COUNTIF('261022'!$C$18:$C$47,$C47)+COUNTIF('261022'!$I$18:$I$47,$C47)</f>
        <v>0</v>
      </c>
      <c r="AA47" s="94">
        <f>COUNTIF('261023'!$C$18:$C$47,$C47)+COUNTIF('261023'!$I$18:$I$47,$C47)</f>
        <v>0</v>
      </c>
      <c r="AB47" s="94">
        <f>COUNTIF('261024'!$C$18:$C$47,$C47)+COUNTIF('261024'!$I$18:$I$47,$C47)</f>
        <v>0</v>
      </c>
      <c r="AC47" s="94">
        <f>COUNTIF('261025'!$C$18:$C$47,$C47)+COUNTIF('261025'!$I$18:$I$47,$C47)</f>
        <v>0</v>
      </c>
      <c r="AD47" s="94">
        <f>COUNTIF('261026'!$C$18:$C$47,$C47)+COUNTIF('261026'!$I$18:$I$47,$C47)</f>
        <v>0</v>
      </c>
      <c r="AE47" s="94">
        <f>COUNTIF('261027'!$C$18:$C$47,$C47)+COUNTIF('261027'!$I$18:$I$47,$C47)</f>
        <v>0</v>
      </c>
      <c r="AF47" s="94">
        <f>COUNTIF('261028'!$C$18:$C$47,$C47)+COUNTIF('261028'!$I$18:$I$47,$C47)</f>
        <v>0</v>
      </c>
      <c r="AG47" s="94">
        <f>COUNTIF('261029'!$C$18:$C$47,$C47)+COUNTIF('261029'!$I$18:$I$47,$C47)</f>
        <v>0</v>
      </c>
      <c r="AH47" s="94">
        <f>COUNTIF('261030'!$C$18:$C$47,$C47)+COUNTIF('261030'!$I$18:$I$47,$C47)</f>
        <v>0</v>
      </c>
      <c r="AI47" s="94">
        <f>COUNTIF('261031'!$C$18:$C$47,$C47)+COUNTIF('261031'!$I$18:$I$47,$C47)</f>
        <v>0</v>
      </c>
      <c r="AJ47" s="108">
        <f t="shared" si="3"/>
        <v>0</v>
      </c>
      <c r="AL47" s="16"/>
      <c r="AM47" s="16"/>
    </row>
    <row r="48" spans="2:39" ht="20.100000000000001" customHeight="1" x14ac:dyDescent="0.3">
      <c r="B48" s="36">
        <f t="shared" si="2"/>
        <v>44</v>
      </c>
      <c r="C48" s="62"/>
      <c r="D48" s="56"/>
      <c r="E48" s="94">
        <f>COUNTIF('261001'!$C$18:$C$47,$C48)+COUNTIF('261001'!$I$18:$I$47,$C48)</f>
        <v>0</v>
      </c>
      <c r="F48" s="94">
        <f>COUNTIF('261002'!$C$18:$C$47,$C48)+COUNTIF('261002'!$I$18:$I$47,$C48)</f>
        <v>0</v>
      </c>
      <c r="G48" s="94">
        <f>COUNTIF('261003'!$C$18:$C$47,$C48)+COUNTIF('261003'!$I$18:$I$47,$C48)</f>
        <v>0</v>
      </c>
      <c r="H48" s="94">
        <f>COUNTIF('261004'!$C$18:$C$47,$C48)+COUNTIF('261004'!$I$18:$I$47,$C48)</f>
        <v>0</v>
      </c>
      <c r="I48" s="94">
        <f>COUNTIF('261005'!$C$18:$C$47,$C48)+COUNTIF('261005'!$I$18:$I$47,$C48)</f>
        <v>0</v>
      </c>
      <c r="J48" s="94">
        <f>COUNTIF('261006'!$C$18:$C$47,$C48)+COUNTIF('261006'!$I$18:$I$47,$C48)</f>
        <v>0</v>
      </c>
      <c r="K48" s="94">
        <f>COUNTIF('261007'!$C$18:$C$47,$C48)+COUNTIF('261007'!$I$18:$I$47,$C48)</f>
        <v>0</v>
      </c>
      <c r="L48" s="94">
        <f>COUNTIF('261008'!$C$18:$C$47,$C48)+COUNTIF('261008'!$I$18:$I$47,$C48)</f>
        <v>0</v>
      </c>
      <c r="M48" s="94">
        <f>COUNTIF('261009'!$C$18:$C$47,$C48)+COUNTIF('261009'!$I$18:$I$47,$C48)</f>
        <v>0</v>
      </c>
      <c r="N48" s="94">
        <f>COUNTIF('261010'!$C$18:$C$47,$C48)+COUNTIF('261010'!$I$18:$I$47,$C48)</f>
        <v>0</v>
      </c>
      <c r="O48" s="94">
        <f>COUNTIF('261011'!$C$18:$C$47,$C48)+COUNTIF('261011'!$I$18:$I$47,$C48)</f>
        <v>0</v>
      </c>
      <c r="P48" s="94">
        <f>COUNTIF('261012'!$C$18:$C$47,$C48)+COUNTIF('261012'!$I$18:$I$47,$C48)</f>
        <v>0</v>
      </c>
      <c r="Q48" s="94">
        <f>COUNTIF('261013'!$C$18:$C$47,$C48)+COUNTIF('261013'!$I$18:$I$47,$C48)</f>
        <v>0</v>
      </c>
      <c r="R48" s="94">
        <f>COUNTIF('261014'!$C$18:$C$47,$C48)+COUNTIF('261014'!$I$18:$I$47,$C48)</f>
        <v>0</v>
      </c>
      <c r="S48" s="94">
        <f>COUNTIF('261015'!$C$18:$C$47,$C48)+COUNTIF('261015'!$I$18:$I$47,$C48)</f>
        <v>0</v>
      </c>
      <c r="T48" s="94">
        <f>COUNTIF('261016'!$C$18:$C$47,$C48)+COUNTIF('261016'!$I$18:$I$47,$C48)</f>
        <v>0</v>
      </c>
      <c r="U48" s="94">
        <f>COUNTIF('261017'!$C$18:$C$47,$C48)+COUNTIF('261017'!$I$18:$I$47,$C48)</f>
        <v>0</v>
      </c>
      <c r="V48" s="94">
        <f>COUNTIF('261018'!$C$18:$C$47,$C48)+COUNTIF('261018'!$I$18:$I$47,$C48)</f>
        <v>0</v>
      </c>
      <c r="W48" s="94">
        <f>COUNTIF('261019'!$C$18:$C$47,$C48)+COUNTIF('261019'!$I$18:$I$47,$C48)</f>
        <v>0</v>
      </c>
      <c r="X48" s="94">
        <f>COUNTIF('261020'!$C$18:$C$47,$C48)+COUNTIF('261020'!$I$18:$I$47,$C48)</f>
        <v>0</v>
      </c>
      <c r="Y48" s="94">
        <f>COUNTIF('261021'!$C$18:$C$47,$C48)+COUNTIF('261021'!$I$18:$I$47,$C48)</f>
        <v>0</v>
      </c>
      <c r="Z48" s="94">
        <f>COUNTIF('261022'!$C$18:$C$47,$C48)+COUNTIF('261022'!$I$18:$I$47,$C48)</f>
        <v>0</v>
      </c>
      <c r="AA48" s="94">
        <f>COUNTIF('261023'!$C$18:$C$47,$C48)+COUNTIF('261023'!$I$18:$I$47,$C48)</f>
        <v>0</v>
      </c>
      <c r="AB48" s="94">
        <f>COUNTIF('261024'!$C$18:$C$47,$C48)+COUNTIF('261024'!$I$18:$I$47,$C48)</f>
        <v>0</v>
      </c>
      <c r="AC48" s="94">
        <f>COUNTIF('261025'!$C$18:$C$47,$C48)+COUNTIF('261025'!$I$18:$I$47,$C48)</f>
        <v>0</v>
      </c>
      <c r="AD48" s="94">
        <f>COUNTIF('261026'!$C$18:$C$47,$C48)+COUNTIF('261026'!$I$18:$I$47,$C48)</f>
        <v>0</v>
      </c>
      <c r="AE48" s="94">
        <f>COUNTIF('261027'!$C$18:$C$47,$C48)+COUNTIF('261027'!$I$18:$I$47,$C48)</f>
        <v>0</v>
      </c>
      <c r="AF48" s="94">
        <f>COUNTIF('261028'!$C$18:$C$47,$C48)+COUNTIF('261028'!$I$18:$I$47,$C48)</f>
        <v>0</v>
      </c>
      <c r="AG48" s="94">
        <f>COUNTIF('261029'!$C$18:$C$47,$C48)+COUNTIF('261029'!$I$18:$I$47,$C48)</f>
        <v>0</v>
      </c>
      <c r="AH48" s="94">
        <f>COUNTIF('261030'!$C$18:$C$47,$C48)+COUNTIF('261030'!$I$18:$I$47,$C48)</f>
        <v>0</v>
      </c>
      <c r="AI48" s="94">
        <f>COUNTIF('261031'!$C$18:$C$47,$C48)+COUNTIF('261031'!$I$18:$I$47,$C48)</f>
        <v>0</v>
      </c>
      <c r="AJ48" s="108">
        <f t="shared" si="3"/>
        <v>0</v>
      </c>
      <c r="AL48" s="16"/>
      <c r="AM48" s="16"/>
    </row>
    <row r="49" spans="2:39" ht="20.100000000000001" customHeight="1" x14ac:dyDescent="0.3">
      <c r="B49" s="36">
        <f t="shared" si="2"/>
        <v>45</v>
      </c>
      <c r="C49" s="62"/>
      <c r="D49" s="56"/>
      <c r="E49" s="94">
        <f>COUNTIF('261001'!$C$18:$C$47,$C49)+COUNTIF('261001'!$I$18:$I$47,$C49)</f>
        <v>0</v>
      </c>
      <c r="F49" s="94">
        <f>COUNTIF('261002'!$C$18:$C$47,$C49)+COUNTIF('261002'!$I$18:$I$47,$C49)</f>
        <v>0</v>
      </c>
      <c r="G49" s="94">
        <f>COUNTIF('261003'!$C$18:$C$47,$C49)+COUNTIF('261003'!$I$18:$I$47,$C49)</f>
        <v>0</v>
      </c>
      <c r="H49" s="94">
        <f>COUNTIF('261004'!$C$18:$C$47,$C49)+COUNTIF('261004'!$I$18:$I$47,$C49)</f>
        <v>0</v>
      </c>
      <c r="I49" s="94">
        <f>COUNTIF('261005'!$C$18:$C$47,$C49)+COUNTIF('261005'!$I$18:$I$47,$C49)</f>
        <v>0</v>
      </c>
      <c r="J49" s="94">
        <f>COUNTIF('261006'!$C$18:$C$47,$C49)+COUNTIF('261006'!$I$18:$I$47,$C49)</f>
        <v>0</v>
      </c>
      <c r="K49" s="94">
        <f>COUNTIF('261007'!$C$18:$C$47,$C49)+COUNTIF('261007'!$I$18:$I$47,$C49)</f>
        <v>0</v>
      </c>
      <c r="L49" s="94">
        <f>COUNTIF('261008'!$C$18:$C$47,$C49)+COUNTIF('261008'!$I$18:$I$47,$C49)</f>
        <v>0</v>
      </c>
      <c r="M49" s="94">
        <f>COUNTIF('261009'!$C$18:$C$47,$C49)+COUNTIF('261009'!$I$18:$I$47,$C49)</f>
        <v>0</v>
      </c>
      <c r="N49" s="94">
        <f>COUNTIF('261010'!$C$18:$C$47,$C49)+COUNTIF('261010'!$I$18:$I$47,$C49)</f>
        <v>0</v>
      </c>
      <c r="O49" s="94">
        <f>COUNTIF('261011'!$C$18:$C$47,$C49)+COUNTIF('261011'!$I$18:$I$47,$C49)</f>
        <v>0</v>
      </c>
      <c r="P49" s="94">
        <f>COUNTIF('261012'!$C$18:$C$47,$C49)+COUNTIF('261012'!$I$18:$I$47,$C49)</f>
        <v>0</v>
      </c>
      <c r="Q49" s="94">
        <f>COUNTIF('261013'!$C$18:$C$47,$C49)+COUNTIF('261013'!$I$18:$I$47,$C49)</f>
        <v>0</v>
      </c>
      <c r="R49" s="94">
        <f>COUNTIF('261014'!$C$18:$C$47,$C49)+COUNTIF('261014'!$I$18:$I$47,$C49)</f>
        <v>0</v>
      </c>
      <c r="S49" s="94">
        <f>COUNTIF('261015'!$C$18:$C$47,$C49)+COUNTIF('261015'!$I$18:$I$47,$C49)</f>
        <v>0</v>
      </c>
      <c r="T49" s="94">
        <f>COUNTIF('261016'!$C$18:$C$47,$C49)+COUNTIF('261016'!$I$18:$I$47,$C49)</f>
        <v>0</v>
      </c>
      <c r="U49" s="94">
        <f>COUNTIF('261017'!$C$18:$C$47,$C49)+COUNTIF('261017'!$I$18:$I$47,$C49)</f>
        <v>0</v>
      </c>
      <c r="V49" s="94">
        <f>COUNTIF('261018'!$C$18:$C$47,$C49)+COUNTIF('261018'!$I$18:$I$47,$C49)</f>
        <v>0</v>
      </c>
      <c r="W49" s="94">
        <f>COUNTIF('261019'!$C$18:$C$47,$C49)+COUNTIF('261019'!$I$18:$I$47,$C49)</f>
        <v>0</v>
      </c>
      <c r="X49" s="94">
        <f>COUNTIF('261020'!$C$18:$C$47,$C49)+COUNTIF('261020'!$I$18:$I$47,$C49)</f>
        <v>0</v>
      </c>
      <c r="Y49" s="94">
        <f>COUNTIF('261021'!$C$18:$C$47,$C49)+COUNTIF('261021'!$I$18:$I$47,$C49)</f>
        <v>0</v>
      </c>
      <c r="Z49" s="94">
        <f>COUNTIF('261022'!$C$18:$C$47,$C49)+COUNTIF('261022'!$I$18:$I$47,$C49)</f>
        <v>0</v>
      </c>
      <c r="AA49" s="94">
        <f>COUNTIF('261023'!$C$18:$C$47,$C49)+COUNTIF('261023'!$I$18:$I$47,$C49)</f>
        <v>0</v>
      </c>
      <c r="AB49" s="94">
        <f>COUNTIF('261024'!$C$18:$C$47,$C49)+COUNTIF('261024'!$I$18:$I$47,$C49)</f>
        <v>0</v>
      </c>
      <c r="AC49" s="94">
        <f>COUNTIF('261025'!$C$18:$C$47,$C49)+COUNTIF('261025'!$I$18:$I$47,$C49)</f>
        <v>0</v>
      </c>
      <c r="AD49" s="94">
        <f>COUNTIF('261026'!$C$18:$C$47,$C49)+COUNTIF('261026'!$I$18:$I$47,$C49)</f>
        <v>0</v>
      </c>
      <c r="AE49" s="94">
        <f>COUNTIF('261027'!$C$18:$C$47,$C49)+COUNTIF('261027'!$I$18:$I$47,$C49)</f>
        <v>0</v>
      </c>
      <c r="AF49" s="94">
        <f>COUNTIF('261028'!$C$18:$C$47,$C49)+COUNTIF('261028'!$I$18:$I$47,$C49)</f>
        <v>0</v>
      </c>
      <c r="AG49" s="94">
        <f>COUNTIF('261029'!$C$18:$C$47,$C49)+COUNTIF('261029'!$I$18:$I$47,$C49)</f>
        <v>0</v>
      </c>
      <c r="AH49" s="94">
        <f>COUNTIF('261030'!$C$18:$C$47,$C49)+COUNTIF('261030'!$I$18:$I$47,$C49)</f>
        <v>0</v>
      </c>
      <c r="AI49" s="94">
        <f>COUNTIF('261031'!$C$18:$C$47,$C49)+COUNTIF('261031'!$I$18:$I$47,$C49)</f>
        <v>0</v>
      </c>
      <c r="AJ49" s="108">
        <f t="shared" si="3"/>
        <v>0</v>
      </c>
      <c r="AL49" s="16"/>
      <c r="AM49" s="16"/>
    </row>
    <row r="50" spans="2:39" ht="20.100000000000001" customHeight="1" x14ac:dyDescent="0.3">
      <c r="B50" s="36">
        <f t="shared" si="2"/>
        <v>46</v>
      </c>
      <c r="C50" s="62"/>
      <c r="D50" s="56"/>
      <c r="E50" s="94">
        <f>COUNTIF('261001'!$C$18:$C$47,$C50)+COUNTIF('261001'!$I$18:$I$47,$C50)</f>
        <v>0</v>
      </c>
      <c r="F50" s="94">
        <f>COUNTIF('261002'!$C$18:$C$47,$C50)+COUNTIF('261002'!$I$18:$I$47,$C50)</f>
        <v>0</v>
      </c>
      <c r="G50" s="94">
        <f>COUNTIF('261003'!$C$18:$C$47,$C50)+COUNTIF('261003'!$I$18:$I$47,$C50)</f>
        <v>0</v>
      </c>
      <c r="H50" s="94">
        <f>COUNTIF('261004'!$C$18:$C$47,$C50)+COUNTIF('261004'!$I$18:$I$47,$C50)</f>
        <v>0</v>
      </c>
      <c r="I50" s="94">
        <f>COUNTIF('261005'!$C$18:$C$47,$C50)+COUNTIF('261005'!$I$18:$I$47,$C50)</f>
        <v>0</v>
      </c>
      <c r="J50" s="94">
        <f>COUNTIF('261006'!$C$18:$C$47,$C50)+COUNTIF('261006'!$I$18:$I$47,$C50)</f>
        <v>0</v>
      </c>
      <c r="K50" s="94">
        <f>COUNTIF('261007'!$C$18:$C$47,$C50)+COUNTIF('261007'!$I$18:$I$47,$C50)</f>
        <v>0</v>
      </c>
      <c r="L50" s="94">
        <f>COUNTIF('261008'!$C$18:$C$47,$C50)+COUNTIF('261008'!$I$18:$I$47,$C50)</f>
        <v>0</v>
      </c>
      <c r="M50" s="94">
        <f>COUNTIF('261009'!$C$18:$C$47,$C50)+COUNTIF('261009'!$I$18:$I$47,$C50)</f>
        <v>0</v>
      </c>
      <c r="N50" s="94">
        <f>COUNTIF('261010'!$C$18:$C$47,$C50)+COUNTIF('261010'!$I$18:$I$47,$C50)</f>
        <v>0</v>
      </c>
      <c r="O50" s="94">
        <f>COUNTIF('261011'!$C$18:$C$47,$C50)+COUNTIF('261011'!$I$18:$I$47,$C50)</f>
        <v>0</v>
      </c>
      <c r="P50" s="94">
        <f>COUNTIF('261012'!$C$18:$C$47,$C50)+COUNTIF('261012'!$I$18:$I$47,$C50)</f>
        <v>0</v>
      </c>
      <c r="Q50" s="94">
        <f>COUNTIF('261013'!$C$18:$C$47,$C50)+COUNTIF('261013'!$I$18:$I$47,$C50)</f>
        <v>0</v>
      </c>
      <c r="R50" s="94">
        <f>COUNTIF('261014'!$C$18:$C$47,$C50)+COUNTIF('261014'!$I$18:$I$47,$C50)</f>
        <v>0</v>
      </c>
      <c r="S50" s="94">
        <f>COUNTIF('261015'!$C$18:$C$47,$C50)+COUNTIF('261015'!$I$18:$I$47,$C50)</f>
        <v>0</v>
      </c>
      <c r="T50" s="94">
        <f>COUNTIF('261016'!$C$18:$C$47,$C50)+COUNTIF('261016'!$I$18:$I$47,$C50)</f>
        <v>0</v>
      </c>
      <c r="U50" s="94">
        <f>COUNTIF('261017'!$C$18:$C$47,$C50)+COUNTIF('261017'!$I$18:$I$47,$C50)</f>
        <v>0</v>
      </c>
      <c r="V50" s="94">
        <f>COUNTIF('261018'!$C$18:$C$47,$C50)+COUNTIF('261018'!$I$18:$I$47,$C50)</f>
        <v>0</v>
      </c>
      <c r="W50" s="94">
        <f>COUNTIF('261019'!$C$18:$C$47,$C50)+COUNTIF('261019'!$I$18:$I$47,$C50)</f>
        <v>0</v>
      </c>
      <c r="X50" s="94">
        <f>COUNTIF('261020'!$C$18:$C$47,$C50)+COUNTIF('261020'!$I$18:$I$47,$C50)</f>
        <v>0</v>
      </c>
      <c r="Y50" s="94">
        <f>COUNTIF('261021'!$C$18:$C$47,$C50)+COUNTIF('261021'!$I$18:$I$47,$C50)</f>
        <v>0</v>
      </c>
      <c r="Z50" s="94">
        <f>COUNTIF('261022'!$C$18:$C$47,$C50)+COUNTIF('261022'!$I$18:$I$47,$C50)</f>
        <v>0</v>
      </c>
      <c r="AA50" s="94">
        <f>COUNTIF('261023'!$C$18:$C$47,$C50)+COUNTIF('261023'!$I$18:$I$47,$C50)</f>
        <v>0</v>
      </c>
      <c r="AB50" s="94">
        <f>COUNTIF('261024'!$C$18:$C$47,$C50)+COUNTIF('261024'!$I$18:$I$47,$C50)</f>
        <v>0</v>
      </c>
      <c r="AC50" s="94">
        <f>COUNTIF('261025'!$C$18:$C$47,$C50)+COUNTIF('261025'!$I$18:$I$47,$C50)</f>
        <v>0</v>
      </c>
      <c r="AD50" s="94">
        <f>COUNTIF('261026'!$C$18:$C$47,$C50)+COUNTIF('261026'!$I$18:$I$47,$C50)</f>
        <v>0</v>
      </c>
      <c r="AE50" s="94">
        <f>COUNTIF('261027'!$C$18:$C$47,$C50)+COUNTIF('261027'!$I$18:$I$47,$C50)</f>
        <v>0</v>
      </c>
      <c r="AF50" s="94">
        <f>COUNTIF('261028'!$C$18:$C$47,$C50)+COUNTIF('261028'!$I$18:$I$47,$C50)</f>
        <v>0</v>
      </c>
      <c r="AG50" s="94">
        <f>COUNTIF('261029'!$C$18:$C$47,$C50)+COUNTIF('261029'!$I$18:$I$47,$C50)</f>
        <v>0</v>
      </c>
      <c r="AH50" s="94">
        <f>COUNTIF('261030'!$C$18:$C$47,$C50)+COUNTIF('261030'!$I$18:$I$47,$C50)</f>
        <v>0</v>
      </c>
      <c r="AI50" s="94">
        <f>COUNTIF('261031'!$C$18:$C$47,$C50)+COUNTIF('261031'!$I$18:$I$47,$C50)</f>
        <v>0</v>
      </c>
      <c r="AJ50" s="108">
        <f t="shared" si="3"/>
        <v>0</v>
      </c>
      <c r="AL50" s="16"/>
      <c r="AM50" s="16"/>
    </row>
    <row r="51" spans="2:39" ht="20.100000000000001" customHeight="1" x14ac:dyDescent="0.3">
      <c r="B51" s="36">
        <f t="shared" si="2"/>
        <v>47</v>
      </c>
      <c r="C51" s="62"/>
      <c r="D51" s="56"/>
      <c r="E51" s="94">
        <f>COUNTIF('261001'!$C$18:$C$47,$C51)+COUNTIF('261001'!$I$18:$I$47,$C51)</f>
        <v>0</v>
      </c>
      <c r="F51" s="94">
        <f>COUNTIF('261002'!$C$18:$C$47,$C51)+COUNTIF('261002'!$I$18:$I$47,$C51)</f>
        <v>0</v>
      </c>
      <c r="G51" s="94">
        <f>COUNTIF('261003'!$C$18:$C$47,$C51)+COUNTIF('261003'!$I$18:$I$47,$C51)</f>
        <v>0</v>
      </c>
      <c r="H51" s="94">
        <f>COUNTIF('261004'!$C$18:$C$47,$C51)+COUNTIF('261004'!$I$18:$I$47,$C51)</f>
        <v>0</v>
      </c>
      <c r="I51" s="94">
        <f>COUNTIF('261005'!$C$18:$C$47,$C51)+COUNTIF('261005'!$I$18:$I$47,$C51)</f>
        <v>0</v>
      </c>
      <c r="J51" s="94">
        <f>COUNTIF('261006'!$C$18:$C$47,$C51)+COUNTIF('261006'!$I$18:$I$47,$C51)</f>
        <v>0</v>
      </c>
      <c r="K51" s="94">
        <f>COUNTIF('261007'!$C$18:$C$47,$C51)+COUNTIF('261007'!$I$18:$I$47,$C51)</f>
        <v>0</v>
      </c>
      <c r="L51" s="94">
        <f>COUNTIF('261008'!$C$18:$C$47,$C51)+COUNTIF('261008'!$I$18:$I$47,$C51)</f>
        <v>0</v>
      </c>
      <c r="M51" s="94">
        <f>COUNTIF('261009'!$C$18:$C$47,$C51)+COUNTIF('261009'!$I$18:$I$47,$C51)</f>
        <v>0</v>
      </c>
      <c r="N51" s="94">
        <f>COUNTIF('261010'!$C$18:$C$47,$C51)+COUNTIF('261010'!$I$18:$I$47,$C51)</f>
        <v>0</v>
      </c>
      <c r="O51" s="94">
        <f>COUNTIF('261011'!$C$18:$C$47,$C51)+COUNTIF('261011'!$I$18:$I$47,$C51)</f>
        <v>0</v>
      </c>
      <c r="P51" s="94">
        <f>COUNTIF('261012'!$C$18:$C$47,$C51)+COUNTIF('261012'!$I$18:$I$47,$C51)</f>
        <v>0</v>
      </c>
      <c r="Q51" s="94">
        <f>COUNTIF('261013'!$C$18:$C$47,$C51)+COUNTIF('261013'!$I$18:$I$47,$C51)</f>
        <v>0</v>
      </c>
      <c r="R51" s="94">
        <f>COUNTIF('261014'!$C$18:$C$47,$C51)+COUNTIF('261014'!$I$18:$I$47,$C51)</f>
        <v>0</v>
      </c>
      <c r="S51" s="94">
        <f>COUNTIF('261015'!$C$18:$C$47,$C51)+COUNTIF('261015'!$I$18:$I$47,$C51)</f>
        <v>0</v>
      </c>
      <c r="T51" s="94">
        <f>COUNTIF('261016'!$C$18:$C$47,$C51)+COUNTIF('261016'!$I$18:$I$47,$C51)</f>
        <v>0</v>
      </c>
      <c r="U51" s="94">
        <f>COUNTIF('261017'!$C$18:$C$47,$C51)+COUNTIF('261017'!$I$18:$I$47,$C51)</f>
        <v>0</v>
      </c>
      <c r="V51" s="94">
        <f>COUNTIF('261018'!$C$18:$C$47,$C51)+COUNTIF('261018'!$I$18:$I$47,$C51)</f>
        <v>0</v>
      </c>
      <c r="W51" s="94">
        <f>COUNTIF('261019'!$C$18:$C$47,$C51)+COUNTIF('261019'!$I$18:$I$47,$C51)</f>
        <v>0</v>
      </c>
      <c r="X51" s="94">
        <f>COUNTIF('261020'!$C$18:$C$47,$C51)+COUNTIF('261020'!$I$18:$I$47,$C51)</f>
        <v>0</v>
      </c>
      <c r="Y51" s="94">
        <f>COUNTIF('261021'!$C$18:$C$47,$C51)+COUNTIF('261021'!$I$18:$I$47,$C51)</f>
        <v>0</v>
      </c>
      <c r="Z51" s="94">
        <f>COUNTIF('261022'!$C$18:$C$47,$C51)+COUNTIF('261022'!$I$18:$I$47,$C51)</f>
        <v>0</v>
      </c>
      <c r="AA51" s="94">
        <f>COUNTIF('261023'!$C$18:$C$47,$C51)+COUNTIF('261023'!$I$18:$I$47,$C51)</f>
        <v>0</v>
      </c>
      <c r="AB51" s="94">
        <f>COUNTIF('261024'!$C$18:$C$47,$C51)+COUNTIF('261024'!$I$18:$I$47,$C51)</f>
        <v>0</v>
      </c>
      <c r="AC51" s="94">
        <f>COUNTIF('261025'!$C$18:$C$47,$C51)+COUNTIF('261025'!$I$18:$I$47,$C51)</f>
        <v>0</v>
      </c>
      <c r="AD51" s="94">
        <f>COUNTIF('261026'!$C$18:$C$47,$C51)+COUNTIF('261026'!$I$18:$I$47,$C51)</f>
        <v>0</v>
      </c>
      <c r="AE51" s="94">
        <f>COUNTIF('261027'!$C$18:$C$47,$C51)+COUNTIF('261027'!$I$18:$I$47,$C51)</f>
        <v>0</v>
      </c>
      <c r="AF51" s="94">
        <f>COUNTIF('261028'!$C$18:$C$47,$C51)+COUNTIF('261028'!$I$18:$I$47,$C51)</f>
        <v>0</v>
      </c>
      <c r="AG51" s="94">
        <f>COUNTIF('261029'!$C$18:$C$47,$C51)+COUNTIF('261029'!$I$18:$I$47,$C51)</f>
        <v>0</v>
      </c>
      <c r="AH51" s="94">
        <f>COUNTIF('261030'!$C$18:$C$47,$C51)+COUNTIF('261030'!$I$18:$I$47,$C51)</f>
        <v>0</v>
      </c>
      <c r="AI51" s="94">
        <f>COUNTIF('261031'!$C$18:$C$47,$C51)+COUNTIF('261031'!$I$18:$I$47,$C51)</f>
        <v>0</v>
      </c>
      <c r="AJ51" s="108">
        <f t="shared" si="3"/>
        <v>0</v>
      </c>
      <c r="AL51" s="16"/>
      <c r="AM51" s="16"/>
    </row>
    <row r="52" spans="2:39" ht="20.100000000000001" customHeight="1" x14ac:dyDescent="0.3">
      <c r="B52" s="36">
        <f t="shared" si="2"/>
        <v>48</v>
      </c>
      <c r="C52" s="62"/>
      <c r="D52" s="56"/>
      <c r="E52" s="94">
        <f>COUNTIF('261001'!$C$18:$C$47,$C52)+COUNTIF('261001'!$I$18:$I$47,$C52)</f>
        <v>0</v>
      </c>
      <c r="F52" s="94">
        <f>COUNTIF('261002'!$C$18:$C$47,$C52)+COUNTIF('261002'!$I$18:$I$47,$C52)</f>
        <v>0</v>
      </c>
      <c r="G52" s="94">
        <f>COUNTIF('261003'!$C$18:$C$47,$C52)+COUNTIF('261003'!$I$18:$I$47,$C52)</f>
        <v>0</v>
      </c>
      <c r="H52" s="94">
        <f>COUNTIF('261004'!$C$18:$C$47,$C52)+COUNTIF('261004'!$I$18:$I$47,$C52)</f>
        <v>0</v>
      </c>
      <c r="I52" s="94">
        <f>COUNTIF('261005'!$C$18:$C$47,$C52)+COUNTIF('261005'!$I$18:$I$47,$C52)</f>
        <v>0</v>
      </c>
      <c r="J52" s="94">
        <f>COUNTIF('261006'!$C$18:$C$47,$C52)+COUNTIF('261006'!$I$18:$I$47,$C52)</f>
        <v>0</v>
      </c>
      <c r="K52" s="94">
        <f>COUNTIF('261007'!$C$18:$C$47,$C52)+COUNTIF('261007'!$I$18:$I$47,$C52)</f>
        <v>0</v>
      </c>
      <c r="L52" s="94">
        <f>COUNTIF('261008'!$C$18:$C$47,$C52)+COUNTIF('261008'!$I$18:$I$47,$C52)</f>
        <v>0</v>
      </c>
      <c r="M52" s="94">
        <f>COUNTIF('261009'!$C$18:$C$47,$C52)+COUNTIF('261009'!$I$18:$I$47,$C52)</f>
        <v>0</v>
      </c>
      <c r="N52" s="94">
        <f>COUNTIF('261010'!$C$18:$C$47,$C52)+COUNTIF('261010'!$I$18:$I$47,$C52)</f>
        <v>0</v>
      </c>
      <c r="O52" s="94">
        <f>COUNTIF('261011'!$C$18:$C$47,$C52)+COUNTIF('261011'!$I$18:$I$47,$C52)</f>
        <v>0</v>
      </c>
      <c r="P52" s="94">
        <f>COUNTIF('261012'!$C$18:$C$47,$C52)+COUNTIF('261012'!$I$18:$I$47,$C52)</f>
        <v>0</v>
      </c>
      <c r="Q52" s="94">
        <f>COUNTIF('261013'!$C$18:$C$47,$C52)+COUNTIF('261013'!$I$18:$I$47,$C52)</f>
        <v>0</v>
      </c>
      <c r="R52" s="94">
        <f>COUNTIF('261014'!$C$18:$C$47,$C52)+COUNTIF('261014'!$I$18:$I$47,$C52)</f>
        <v>0</v>
      </c>
      <c r="S52" s="94">
        <f>COUNTIF('261015'!$C$18:$C$47,$C52)+COUNTIF('261015'!$I$18:$I$47,$C52)</f>
        <v>0</v>
      </c>
      <c r="T52" s="94">
        <f>COUNTIF('261016'!$C$18:$C$47,$C52)+COUNTIF('261016'!$I$18:$I$47,$C52)</f>
        <v>0</v>
      </c>
      <c r="U52" s="94">
        <f>COUNTIF('261017'!$C$18:$C$47,$C52)+COUNTIF('261017'!$I$18:$I$47,$C52)</f>
        <v>0</v>
      </c>
      <c r="V52" s="94">
        <f>COUNTIF('261018'!$C$18:$C$47,$C52)+COUNTIF('261018'!$I$18:$I$47,$C52)</f>
        <v>0</v>
      </c>
      <c r="W52" s="94">
        <f>COUNTIF('261019'!$C$18:$C$47,$C52)+COUNTIF('261019'!$I$18:$I$47,$C52)</f>
        <v>0</v>
      </c>
      <c r="X52" s="94">
        <f>COUNTIF('261020'!$C$18:$C$47,$C52)+COUNTIF('261020'!$I$18:$I$47,$C52)</f>
        <v>0</v>
      </c>
      <c r="Y52" s="94">
        <f>COUNTIF('261021'!$C$18:$C$47,$C52)+COUNTIF('261021'!$I$18:$I$47,$C52)</f>
        <v>0</v>
      </c>
      <c r="Z52" s="94">
        <f>COUNTIF('261022'!$C$18:$C$47,$C52)+COUNTIF('261022'!$I$18:$I$47,$C52)</f>
        <v>0</v>
      </c>
      <c r="AA52" s="94">
        <f>COUNTIF('261023'!$C$18:$C$47,$C52)+COUNTIF('261023'!$I$18:$I$47,$C52)</f>
        <v>0</v>
      </c>
      <c r="AB52" s="94">
        <f>COUNTIF('261024'!$C$18:$C$47,$C52)+COUNTIF('261024'!$I$18:$I$47,$C52)</f>
        <v>0</v>
      </c>
      <c r="AC52" s="94">
        <f>COUNTIF('261025'!$C$18:$C$47,$C52)+COUNTIF('261025'!$I$18:$I$47,$C52)</f>
        <v>0</v>
      </c>
      <c r="AD52" s="94">
        <f>COUNTIF('261026'!$C$18:$C$47,$C52)+COUNTIF('261026'!$I$18:$I$47,$C52)</f>
        <v>0</v>
      </c>
      <c r="AE52" s="94">
        <f>COUNTIF('261027'!$C$18:$C$47,$C52)+COUNTIF('261027'!$I$18:$I$47,$C52)</f>
        <v>0</v>
      </c>
      <c r="AF52" s="94">
        <f>COUNTIF('261028'!$C$18:$C$47,$C52)+COUNTIF('261028'!$I$18:$I$47,$C52)</f>
        <v>0</v>
      </c>
      <c r="AG52" s="94">
        <f>COUNTIF('261029'!$C$18:$C$47,$C52)+COUNTIF('261029'!$I$18:$I$47,$C52)</f>
        <v>0</v>
      </c>
      <c r="AH52" s="94">
        <f>COUNTIF('261030'!$C$18:$C$47,$C52)+COUNTIF('261030'!$I$18:$I$47,$C52)</f>
        <v>0</v>
      </c>
      <c r="AI52" s="94">
        <f>COUNTIF('261031'!$C$18:$C$47,$C52)+COUNTIF('261031'!$I$18:$I$47,$C52)</f>
        <v>0</v>
      </c>
      <c r="AJ52" s="108">
        <f t="shared" si="3"/>
        <v>0</v>
      </c>
      <c r="AL52" s="16"/>
      <c r="AM52" s="16"/>
    </row>
    <row r="53" spans="2:39" ht="20.100000000000001" customHeight="1" x14ac:dyDescent="0.3">
      <c r="B53" s="36">
        <f t="shared" si="2"/>
        <v>49</v>
      </c>
      <c r="C53" s="62"/>
      <c r="D53" s="56"/>
      <c r="E53" s="94">
        <f>COUNTIF('261001'!$C$18:$C$47,$C53)+COUNTIF('261001'!$I$18:$I$47,$C53)</f>
        <v>0</v>
      </c>
      <c r="F53" s="94">
        <f>COUNTIF('261002'!$C$18:$C$47,$C53)+COUNTIF('261002'!$I$18:$I$47,$C53)</f>
        <v>0</v>
      </c>
      <c r="G53" s="94">
        <f>COUNTIF('261003'!$C$18:$C$47,$C53)+COUNTIF('261003'!$I$18:$I$47,$C53)</f>
        <v>0</v>
      </c>
      <c r="H53" s="94">
        <f>COUNTIF('261004'!$C$18:$C$47,$C53)+COUNTIF('261004'!$I$18:$I$47,$C53)</f>
        <v>0</v>
      </c>
      <c r="I53" s="94">
        <f>COUNTIF('261005'!$C$18:$C$47,$C53)+COUNTIF('261005'!$I$18:$I$47,$C53)</f>
        <v>0</v>
      </c>
      <c r="J53" s="94">
        <f>COUNTIF('261006'!$C$18:$C$47,$C53)+COUNTIF('261006'!$I$18:$I$47,$C53)</f>
        <v>0</v>
      </c>
      <c r="K53" s="94">
        <f>COUNTIF('261007'!$C$18:$C$47,$C53)+COUNTIF('261007'!$I$18:$I$47,$C53)</f>
        <v>0</v>
      </c>
      <c r="L53" s="94">
        <f>COUNTIF('261008'!$C$18:$C$47,$C53)+COUNTIF('261008'!$I$18:$I$47,$C53)</f>
        <v>0</v>
      </c>
      <c r="M53" s="94">
        <f>COUNTIF('261009'!$C$18:$C$47,$C53)+COUNTIF('261009'!$I$18:$I$47,$C53)</f>
        <v>0</v>
      </c>
      <c r="N53" s="94">
        <f>COUNTIF('261010'!$C$18:$C$47,$C53)+COUNTIF('261010'!$I$18:$I$47,$C53)</f>
        <v>0</v>
      </c>
      <c r="O53" s="94">
        <f>COUNTIF('261011'!$C$18:$C$47,$C53)+COUNTIF('261011'!$I$18:$I$47,$C53)</f>
        <v>0</v>
      </c>
      <c r="P53" s="94">
        <f>COUNTIF('261012'!$C$18:$C$47,$C53)+COUNTIF('261012'!$I$18:$I$47,$C53)</f>
        <v>0</v>
      </c>
      <c r="Q53" s="94">
        <f>COUNTIF('261013'!$C$18:$C$47,$C53)+COUNTIF('261013'!$I$18:$I$47,$C53)</f>
        <v>0</v>
      </c>
      <c r="R53" s="94">
        <f>COUNTIF('261014'!$C$18:$C$47,$C53)+COUNTIF('261014'!$I$18:$I$47,$C53)</f>
        <v>0</v>
      </c>
      <c r="S53" s="94">
        <f>COUNTIF('261015'!$C$18:$C$47,$C53)+COUNTIF('261015'!$I$18:$I$47,$C53)</f>
        <v>0</v>
      </c>
      <c r="T53" s="94">
        <f>COUNTIF('261016'!$C$18:$C$47,$C53)+COUNTIF('261016'!$I$18:$I$47,$C53)</f>
        <v>0</v>
      </c>
      <c r="U53" s="94">
        <f>COUNTIF('261017'!$C$18:$C$47,$C53)+COUNTIF('261017'!$I$18:$I$47,$C53)</f>
        <v>0</v>
      </c>
      <c r="V53" s="94">
        <f>COUNTIF('261018'!$C$18:$C$47,$C53)+COUNTIF('261018'!$I$18:$I$47,$C53)</f>
        <v>0</v>
      </c>
      <c r="W53" s="94">
        <f>COUNTIF('261019'!$C$18:$C$47,$C53)+COUNTIF('261019'!$I$18:$I$47,$C53)</f>
        <v>0</v>
      </c>
      <c r="X53" s="94">
        <f>COUNTIF('261020'!$C$18:$C$47,$C53)+COUNTIF('261020'!$I$18:$I$47,$C53)</f>
        <v>0</v>
      </c>
      <c r="Y53" s="94">
        <f>COUNTIF('261021'!$C$18:$C$47,$C53)+COUNTIF('261021'!$I$18:$I$47,$C53)</f>
        <v>0</v>
      </c>
      <c r="Z53" s="94">
        <f>COUNTIF('261022'!$C$18:$C$47,$C53)+COUNTIF('261022'!$I$18:$I$47,$C53)</f>
        <v>0</v>
      </c>
      <c r="AA53" s="94">
        <f>COUNTIF('261023'!$C$18:$C$47,$C53)+COUNTIF('261023'!$I$18:$I$47,$C53)</f>
        <v>0</v>
      </c>
      <c r="AB53" s="94">
        <f>COUNTIF('261024'!$C$18:$C$47,$C53)+COUNTIF('261024'!$I$18:$I$47,$C53)</f>
        <v>0</v>
      </c>
      <c r="AC53" s="94">
        <f>COUNTIF('261025'!$C$18:$C$47,$C53)+COUNTIF('261025'!$I$18:$I$47,$C53)</f>
        <v>0</v>
      </c>
      <c r="AD53" s="94">
        <f>COUNTIF('261026'!$C$18:$C$47,$C53)+COUNTIF('261026'!$I$18:$I$47,$C53)</f>
        <v>0</v>
      </c>
      <c r="AE53" s="94">
        <f>COUNTIF('261027'!$C$18:$C$47,$C53)+COUNTIF('261027'!$I$18:$I$47,$C53)</f>
        <v>0</v>
      </c>
      <c r="AF53" s="94">
        <f>COUNTIF('261028'!$C$18:$C$47,$C53)+COUNTIF('261028'!$I$18:$I$47,$C53)</f>
        <v>0</v>
      </c>
      <c r="AG53" s="94">
        <f>COUNTIF('261029'!$C$18:$C$47,$C53)+COUNTIF('261029'!$I$18:$I$47,$C53)</f>
        <v>0</v>
      </c>
      <c r="AH53" s="94">
        <f>COUNTIF('261030'!$C$18:$C$47,$C53)+COUNTIF('261030'!$I$18:$I$47,$C53)</f>
        <v>0</v>
      </c>
      <c r="AI53" s="94">
        <f>COUNTIF('261031'!$C$18:$C$47,$C53)+COUNTIF('261031'!$I$18:$I$47,$C53)</f>
        <v>0</v>
      </c>
      <c r="AJ53" s="108">
        <f t="shared" si="3"/>
        <v>0</v>
      </c>
      <c r="AL53" s="16"/>
      <c r="AM53" s="16"/>
    </row>
    <row r="54" spans="2:39" ht="20.100000000000001" customHeight="1" x14ac:dyDescent="0.3">
      <c r="B54" s="36">
        <f t="shared" si="2"/>
        <v>50</v>
      </c>
      <c r="C54" s="62"/>
      <c r="D54" s="59"/>
      <c r="E54" s="94">
        <f>COUNTIF('261001'!$C$18:$C$47,$C54)+COUNTIF('261001'!$I$18:$I$47,$C54)</f>
        <v>0</v>
      </c>
      <c r="F54" s="94">
        <f>COUNTIF('261002'!$C$18:$C$47,$C54)+COUNTIF('261002'!$I$18:$I$47,$C54)</f>
        <v>0</v>
      </c>
      <c r="G54" s="94">
        <f>COUNTIF('261003'!$C$18:$C$47,$C54)+COUNTIF('261003'!$I$18:$I$47,$C54)</f>
        <v>0</v>
      </c>
      <c r="H54" s="94">
        <f>COUNTIF('261004'!$C$18:$C$47,$C54)+COUNTIF('261004'!$I$18:$I$47,$C54)</f>
        <v>0</v>
      </c>
      <c r="I54" s="94">
        <f>COUNTIF('261005'!$C$18:$C$47,$C54)+COUNTIF('261005'!$I$18:$I$47,$C54)</f>
        <v>0</v>
      </c>
      <c r="J54" s="94">
        <f>COUNTIF('261006'!$C$18:$C$47,$C54)+COUNTIF('261006'!$I$18:$I$47,$C54)</f>
        <v>0</v>
      </c>
      <c r="K54" s="94">
        <f>COUNTIF('261007'!$C$18:$C$47,$C54)+COUNTIF('261007'!$I$18:$I$47,$C54)</f>
        <v>0</v>
      </c>
      <c r="L54" s="94">
        <f>COUNTIF('261008'!$C$18:$C$47,$C54)+COUNTIF('261008'!$I$18:$I$47,$C54)</f>
        <v>0</v>
      </c>
      <c r="M54" s="94">
        <f>COUNTIF('261009'!$C$18:$C$47,$C54)+COUNTIF('261009'!$I$18:$I$47,$C54)</f>
        <v>0</v>
      </c>
      <c r="N54" s="94">
        <f>COUNTIF('261010'!$C$18:$C$47,$C54)+COUNTIF('261010'!$I$18:$I$47,$C54)</f>
        <v>0</v>
      </c>
      <c r="O54" s="94">
        <f>COUNTIF('261011'!$C$18:$C$47,$C54)+COUNTIF('261011'!$I$18:$I$47,$C54)</f>
        <v>0</v>
      </c>
      <c r="P54" s="94">
        <f>COUNTIF('261012'!$C$18:$C$47,$C54)+COUNTIF('261012'!$I$18:$I$47,$C54)</f>
        <v>0</v>
      </c>
      <c r="Q54" s="94">
        <f>COUNTIF('261013'!$C$18:$C$47,$C54)+COUNTIF('261013'!$I$18:$I$47,$C54)</f>
        <v>0</v>
      </c>
      <c r="R54" s="94">
        <f>COUNTIF('261014'!$C$18:$C$47,$C54)+COUNTIF('261014'!$I$18:$I$47,$C54)</f>
        <v>0</v>
      </c>
      <c r="S54" s="94">
        <f>COUNTIF('261015'!$C$18:$C$47,$C54)+COUNTIF('261015'!$I$18:$I$47,$C54)</f>
        <v>0</v>
      </c>
      <c r="T54" s="94">
        <f>COUNTIF('261016'!$C$18:$C$47,$C54)+COUNTIF('261016'!$I$18:$I$47,$C54)</f>
        <v>0</v>
      </c>
      <c r="U54" s="94">
        <f>COUNTIF('261017'!$C$18:$C$47,$C54)+COUNTIF('261017'!$I$18:$I$47,$C54)</f>
        <v>0</v>
      </c>
      <c r="V54" s="94">
        <f>COUNTIF('261018'!$C$18:$C$47,$C54)+COUNTIF('261018'!$I$18:$I$47,$C54)</f>
        <v>0</v>
      </c>
      <c r="W54" s="94">
        <f>COUNTIF('261019'!$C$18:$C$47,$C54)+COUNTIF('261019'!$I$18:$I$47,$C54)</f>
        <v>0</v>
      </c>
      <c r="X54" s="94">
        <f>COUNTIF('261020'!$C$18:$C$47,$C54)+COUNTIF('261020'!$I$18:$I$47,$C54)</f>
        <v>0</v>
      </c>
      <c r="Y54" s="94">
        <f>COUNTIF('261021'!$C$18:$C$47,$C54)+COUNTIF('261021'!$I$18:$I$47,$C54)</f>
        <v>0</v>
      </c>
      <c r="Z54" s="94">
        <f>COUNTIF('261022'!$C$18:$C$47,$C54)+COUNTIF('261022'!$I$18:$I$47,$C54)</f>
        <v>0</v>
      </c>
      <c r="AA54" s="94">
        <f>COUNTIF('261023'!$C$18:$C$47,$C54)+COUNTIF('261023'!$I$18:$I$47,$C54)</f>
        <v>0</v>
      </c>
      <c r="AB54" s="94">
        <f>COUNTIF('261024'!$C$18:$C$47,$C54)+COUNTIF('261024'!$I$18:$I$47,$C54)</f>
        <v>0</v>
      </c>
      <c r="AC54" s="94">
        <f>COUNTIF('261025'!$C$18:$C$47,$C54)+COUNTIF('261025'!$I$18:$I$47,$C54)</f>
        <v>0</v>
      </c>
      <c r="AD54" s="94">
        <f>COUNTIF('261026'!$C$18:$C$47,$C54)+COUNTIF('261026'!$I$18:$I$47,$C54)</f>
        <v>0</v>
      </c>
      <c r="AE54" s="94">
        <f>COUNTIF('261027'!$C$18:$C$47,$C54)+COUNTIF('261027'!$I$18:$I$47,$C54)</f>
        <v>0</v>
      </c>
      <c r="AF54" s="94">
        <f>COUNTIF('261028'!$C$18:$C$47,$C54)+COUNTIF('261028'!$I$18:$I$47,$C54)</f>
        <v>0</v>
      </c>
      <c r="AG54" s="94">
        <f>COUNTIF('261029'!$C$18:$C$47,$C54)+COUNTIF('261029'!$I$18:$I$47,$C54)</f>
        <v>0</v>
      </c>
      <c r="AH54" s="94">
        <f>COUNTIF('261030'!$C$18:$C$47,$C54)+COUNTIF('261030'!$I$18:$I$47,$C54)</f>
        <v>0</v>
      </c>
      <c r="AI54" s="94">
        <f>COUNTIF('261031'!$C$18:$C$47,$C54)+COUNTIF('261031'!$I$18:$I$47,$C54)</f>
        <v>0</v>
      </c>
      <c r="AJ54" s="108">
        <f t="shared" si="3"/>
        <v>0</v>
      </c>
      <c r="AL54" s="16"/>
      <c r="AM54" s="16"/>
    </row>
    <row r="55" spans="2:39" ht="20.100000000000001" customHeight="1" x14ac:dyDescent="0.3">
      <c r="B55" s="36">
        <f t="shared" si="2"/>
        <v>51</v>
      </c>
      <c r="C55" s="62"/>
      <c r="D55" s="56"/>
      <c r="E55" s="94">
        <f>COUNTIF('261001'!$C$18:$C$47,$C55)+COUNTIF('261001'!$I$18:$I$47,$C55)</f>
        <v>0</v>
      </c>
      <c r="F55" s="94">
        <f>COUNTIF('261002'!$C$18:$C$47,$C55)+COUNTIF('261002'!$I$18:$I$47,$C55)</f>
        <v>0</v>
      </c>
      <c r="G55" s="94">
        <f>COUNTIF('261003'!$C$18:$C$47,$C55)+COUNTIF('261003'!$I$18:$I$47,$C55)</f>
        <v>0</v>
      </c>
      <c r="H55" s="94">
        <f>COUNTIF('261004'!$C$18:$C$47,$C55)+COUNTIF('261004'!$I$18:$I$47,$C55)</f>
        <v>0</v>
      </c>
      <c r="I55" s="94">
        <f>COUNTIF('261005'!$C$18:$C$47,$C55)+COUNTIF('261005'!$I$18:$I$47,$C55)</f>
        <v>0</v>
      </c>
      <c r="J55" s="94">
        <f>COUNTIF('261006'!$C$18:$C$47,$C55)+COUNTIF('261006'!$I$18:$I$47,$C55)</f>
        <v>0</v>
      </c>
      <c r="K55" s="94">
        <f>COUNTIF('261007'!$C$18:$C$47,$C55)+COUNTIF('261007'!$I$18:$I$47,$C55)</f>
        <v>0</v>
      </c>
      <c r="L55" s="94">
        <f>COUNTIF('261008'!$C$18:$C$47,$C55)+COUNTIF('261008'!$I$18:$I$47,$C55)</f>
        <v>0</v>
      </c>
      <c r="M55" s="94">
        <f>COUNTIF('261009'!$C$18:$C$47,$C55)+COUNTIF('261009'!$I$18:$I$47,$C55)</f>
        <v>0</v>
      </c>
      <c r="N55" s="94">
        <f>COUNTIF('261010'!$C$18:$C$47,$C55)+COUNTIF('261010'!$I$18:$I$47,$C55)</f>
        <v>0</v>
      </c>
      <c r="O55" s="94">
        <f>COUNTIF('261011'!$C$18:$C$47,$C55)+COUNTIF('261011'!$I$18:$I$47,$C55)</f>
        <v>0</v>
      </c>
      <c r="P55" s="94">
        <f>COUNTIF('261012'!$C$18:$C$47,$C55)+COUNTIF('261012'!$I$18:$I$47,$C55)</f>
        <v>0</v>
      </c>
      <c r="Q55" s="94">
        <f>COUNTIF('261013'!$C$18:$C$47,$C55)+COUNTIF('261013'!$I$18:$I$47,$C55)</f>
        <v>0</v>
      </c>
      <c r="R55" s="94">
        <f>COUNTIF('261014'!$C$18:$C$47,$C55)+COUNTIF('261014'!$I$18:$I$47,$C55)</f>
        <v>0</v>
      </c>
      <c r="S55" s="94">
        <f>COUNTIF('261015'!$C$18:$C$47,$C55)+COUNTIF('261015'!$I$18:$I$47,$C55)</f>
        <v>0</v>
      </c>
      <c r="T55" s="94">
        <f>COUNTIF('261016'!$C$18:$C$47,$C55)+COUNTIF('261016'!$I$18:$I$47,$C55)</f>
        <v>0</v>
      </c>
      <c r="U55" s="94">
        <f>COUNTIF('261017'!$C$18:$C$47,$C55)+COUNTIF('261017'!$I$18:$I$47,$C55)</f>
        <v>0</v>
      </c>
      <c r="V55" s="94">
        <f>COUNTIF('261018'!$C$18:$C$47,$C55)+COUNTIF('261018'!$I$18:$I$47,$C55)</f>
        <v>0</v>
      </c>
      <c r="W55" s="94">
        <f>COUNTIF('261019'!$C$18:$C$47,$C55)+COUNTIF('261019'!$I$18:$I$47,$C55)</f>
        <v>0</v>
      </c>
      <c r="X55" s="94">
        <f>COUNTIF('261020'!$C$18:$C$47,$C55)+COUNTIF('261020'!$I$18:$I$47,$C55)</f>
        <v>0</v>
      </c>
      <c r="Y55" s="94">
        <f>COUNTIF('261021'!$C$18:$C$47,$C55)+COUNTIF('261021'!$I$18:$I$47,$C55)</f>
        <v>0</v>
      </c>
      <c r="Z55" s="94">
        <f>COUNTIF('261022'!$C$18:$C$47,$C55)+COUNTIF('261022'!$I$18:$I$47,$C55)</f>
        <v>0</v>
      </c>
      <c r="AA55" s="94">
        <f>COUNTIF('261023'!$C$18:$C$47,$C55)+COUNTIF('261023'!$I$18:$I$47,$C55)</f>
        <v>0</v>
      </c>
      <c r="AB55" s="94">
        <f>COUNTIF('261024'!$C$18:$C$47,$C55)+COUNTIF('261024'!$I$18:$I$47,$C55)</f>
        <v>0</v>
      </c>
      <c r="AC55" s="94">
        <f>COUNTIF('261025'!$C$18:$C$47,$C55)+COUNTIF('261025'!$I$18:$I$47,$C55)</f>
        <v>0</v>
      </c>
      <c r="AD55" s="94">
        <f>COUNTIF('261026'!$C$18:$C$47,$C55)+COUNTIF('261026'!$I$18:$I$47,$C55)</f>
        <v>0</v>
      </c>
      <c r="AE55" s="94">
        <f>COUNTIF('261027'!$C$18:$C$47,$C55)+COUNTIF('261027'!$I$18:$I$47,$C55)</f>
        <v>0</v>
      </c>
      <c r="AF55" s="94">
        <f>COUNTIF('261028'!$C$18:$C$47,$C55)+COUNTIF('261028'!$I$18:$I$47,$C55)</f>
        <v>0</v>
      </c>
      <c r="AG55" s="94">
        <f>COUNTIF('261029'!$C$18:$C$47,$C55)+COUNTIF('261029'!$I$18:$I$47,$C55)</f>
        <v>0</v>
      </c>
      <c r="AH55" s="94">
        <f>COUNTIF('261030'!$C$18:$C$47,$C55)+COUNTIF('261030'!$I$18:$I$47,$C55)</f>
        <v>0</v>
      </c>
      <c r="AI55" s="94">
        <f>COUNTIF('261031'!$C$18:$C$47,$C55)+COUNTIF('261031'!$I$18:$I$47,$C55)</f>
        <v>0</v>
      </c>
      <c r="AJ55" s="108">
        <f t="shared" si="3"/>
        <v>0</v>
      </c>
      <c r="AL55" s="16"/>
      <c r="AM55" s="16"/>
    </row>
    <row r="56" spans="2:39" ht="20.100000000000001" customHeight="1" x14ac:dyDescent="0.3">
      <c r="B56" s="36">
        <f t="shared" si="2"/>
        <v>52</v>
      </c>
      <c r="C56" s="62"/>
      <c r="D56" s="56"/>
      <c r="E56" s="94">
        <f>COUNTIF('261001'!$C$18:$C$47,$C56)+COUNTIF('261001'!$I$18:$I$47,$C56)</f>
        <v>0</v>
      </c>
      <c r="F56" s="94">
        <f>COUNTIF('261002'!$C$18:$C$47,$C56)+COUNTIF('261002'!$I$18:$I$47,$C56)</f>
        <v>0</v>
      </c>
      <c r="G56" s="94">
        <f>COUNTIF('261003'!$C$18:$C$47,$C56)+COUNTIF('261003'!$I$18:$I$47,$C56)</f>
        <v>0</v>
      </c>
      <c r="H56" s="94">
        <f>COUNTIF('261004'!$C$18:$C$47,$C56)+COUNTIF('261004'!$I$18:$I$47,$C56)</f>
        <v>0</v>
      </c>
      <c r="I56" s="94">
        <f>COUNTIF('261005'!$C$18:$C$47,$C56)+COUNTIF('261005'!$I$18:$I$47,$C56)</f>
        <v>0</v>
      </c>
      <c r="J56" s="94">
        <f>COUNTIF('261006'!$C$18:$C$47,$C56)+COUNTIF('261006'!$I$18:$I$47,$C56)</f>
        <v>0</v>
      </c>
      <c r="K56" s="94">
        <f>COUNTIF('261007'!$C$18:$C$47,$C56)+COUNTIF('261007'!$I$18:$I$47,$C56)</f>
        <v>0</v>
      </c>
      <c r="L56" s="94">
        <f>COUNTIF('261008'!$C$18:$C$47,$C56)+COUNTIF('261008'!$I$18:$I$47,$C56)</f>
        <v>0</v>
      </c>
      <c r="M56" s="94">
        <f>COUNTIF('261009'!$C$18:$C$47,$C56)+COUNTIF('261009'!$I$18:$I$47,$C56)</f>
        <v>0</v>
      </c>
      <c r="N56" s="94">
        <f>COUNTIF('261010'!$C$18:$C$47,$C56)+COUNTIF('261010'!$I$18:$I$47,$C56)</f>
        <v>0</v>
      </c>
      <c r="O56" s="94">
        <f>COUNTIF('261011'!$C$18:$C$47,$C56)+COUNTIF('261011'!$I$18:$I$47,$C56)</f>
        <v>0</v>
      </c>
      <c r="P56" s="94">
        <f>COUNTIF('261012'!$C$18:$C$47,$C56)+COUNTIF('261012'!$I$18:$I$47,$C56)</f>
        <v>0</v>
      </c>
      <c r="Q56" s="94">
        <f>COUNTIF('261013'!$C$18:$C$47,$C56)+COUNTIF('261013'!$I$18:$I$47,$C56)</f>
        <v>0</v>
      </c>
      <c r="R56" s="94">
        <f>COUNTIF('261014'!$C$18:$C$47,$C56)+COUNTIF('261014'!$I$18:$I$47,$C56)</f>
        <v>0</v>
      </c>
      <c r="S56" s="94">
        <f>COUNTIF('261015'!$C$18:$C$47,$C56)+COUNTIF('261015'!$I$18:$I$47,$C56)</f>
        <v>0</v>
      </c>
      <c r="T56" s="94">
        <f>COUNTIF('261016'!$C$18:$C$47,$C56)+COUNTIF('261016'!$I$18:$I$47,$C56)</f>
        <v>0</v>
      </c>
      <c r="U56" s="94">
        <f>COUNTIF('261017'!$C$18:$C$47,$C56)+COUNTIF('261017'!$I$18:$I$47,$C56)</f>
        <v>0</v>
      </c>
      <c r="V56" s="94">
        <f>COUNTIF('261018'!$C$18:$C$47,$C56)+COUNTIF('261018'!$I$18:$I$47,$C56)</f>
        <v>0</v>
      </c>
      <c r="W56" s="94">
        <f>COUNTIF('261019'!$C$18:$C$47,$C56)+COUNTIF('261019'!$I$18:$I$47,$C56)</f>
        <v>0</v>
      </c>
      <c r="X56" s="94">
        <f>COUNTIF('261020'!$C$18:$C$47,$C56)+COUNTIF('261020'!$I$18:$I$47,$C56)</f>
        <v>0</v>
      </c>
      <c r="Y56" s="94">
        <f>COUNTIF('261021'!$C$18:$C$47,$C56)+COUNTIF('261021'!$I$18:$I$47,$C56)</f>
        <v>0</v>
      </c>
      <c r="Z56" s="94">
        <f>COUNTIF('261022'!$C$18:$C$47,$C56)+COUNTIF('261022'!$I$18:$I$47,$C56)</f>
        <v>0</v>
      </c>
      <c r="AA56" s="94">
        <f>COUNTIF('261023'!$C$18:$C$47,$C56)+COUNTIF('261023'!$I$18:$I$47,$C56)</f>
        <v>0</v>
      </c>
      <c r="AB56" s="94">
        <f>COUNTIF('261024'!$C$18:$C$47,$C56)+COUNTIF('261024'!$I$18:$I$47,$C56)</f>
        <v>0</v>
      </c>
      <c r="AC56" s="94">
        <f>COUNTIF('261025'!$C$18:$C$47,$C56)+COUNTIF('261025'!$I$18:$I$47,$C56)</f>
        <v>0</v>
      </c>
      <c r="AD56" s="94">
        <f>COUNTIF('261026'!$C$18:$C$47,$C56)+COUNTIF('261026'!$I$18:$I$47,$C56)</f>
        <v>0</v>
      </c>
      <c r="AE56" s="94">
        <f>COUNTIF('261027'!$C$18:$C$47,$C56)+COUNTIF('261027'!$I$18:$I$47,$C56)</f>
        <v>0</v>
      </c>
      <c r="AF56" s="94">
        <f>COUNTIF('261028'!$C$18:$C$47,$C56)+COUNTIF('261028'!$I$18:$I$47,$C56)</f>
        <v>0</v>
      </c>
      <c r="AG56" s="94">
        <f>COUNTIF('261029'!$C$18:$C$47,$C56)+COUNTIF('261029'!$I$18:$I$47,$C56)</f>
        <v>0</v>
      </c>
      <c r="AH56" s="94">
        <f>COUNTIF('261030'!$C$18:$C$47,$C56)+COUNTIF('261030'!$I$18:$I$47,$C56)</f>
        <v>0</v>
      </c>
      <c r="AI56" s="94">
        <f>COUNTIF('261031'!$C$18:$C$47,$C56)+COUNTIF('261031'!$I$18:$I$47,$C56)</f>
        <v>0</v>
      </c>
      <c r="AJ56" s="108">
        <f t="shared" si="3"/>
        <v>0</v>
      </c>
      <c r="AL56" s="16"/>
      <c r="AM56" s="16"/>
    </row>
    <row r="57" spans="2:39" ht="20.100000000000001" customHeight="1" x14ac:dyDescent="0.3">
      <c r="B57" s="36">
        <f t="shared" si="2"/>
        <v>53</v>
      </c>
      <c r="C57" s="62"/>
      <c r="D57" s="56"/>
      <c r="E57" s="94">
        <f>COUNTIF('261001'!$C$18:$C$47,$C57)+COUNTIF('261001'!$I$18:$I$47,$C57)</f>
        <v>0</v>
      </c>
      <c r="F57" s="94">
        <f>COUNTIF('261002'!$C$18:$C$47,$C57)+COUNTIF('261002'!$I$18:$I$47,$C57)</f>
        <v>0</v>
      </c>
      <c r="G57" s="94">
        <f>COUNTIF('261003'!$C$18:$C$47,$C57)+COUNTIF('261003'!$I$18:$I$47,$C57)</f>
        <v>0</v>
      </c>
      <c r="H57" s="94">
        <f>COUNTIF('261004'!$C$18:$C$47,$C57)+COUNTIF('261004'!$I$18:$I$47,$C57)</f>
        <v>0</v>
      </c>
      <c r="I57" s="94">
        <f>COUNTIF('261005'!$C$18:$C$47,$C57)+COUNTIF('261005'!$I$18:$I$47,$C57)</f>
        <v>0</v>
      </c>
      <c r="J57" s="94">
        <f>COUNTIF('261006'!$C$18:$C$47,$C57)+COUNTIF('261006'!$I$18:$I$47,$C57)</f>
        <v>0</v>
      </c>
      <c r="K57" s="94">
        <f>COUNTIF('261007'!$C$18:$C$47,$C57)+COUNTIF('261007'!$I$18:$I$47,$C57)</f>
        <v>0</v>
      </c>
      <c r="L57" s="94">
        <f>COUNTIF('261008'!$C$18:$C$47,$C57)+COUNTIF('261008'!$I$18:$I$47,$C57)</f>
        <v>0</v>
      </c>
      <c r="M57" s="94">
        <f>COUNTIF('261009'!$C$18:$C$47,$C57)+COUNTIF('261009'!$I$18:$I$47,$C57)</f>
        <v>0</v>
      </c>
      <c r="N57" s="94">
        <f>COUNTIF('261010'!$C$18:$C$47,$C57)+COUNTIF('261010'!$I$18:$I$47,$C57)</f>
        <v>0</v>
      </c>
      <c r="O57" s="94">
        <f>COUNTIF('261011'!$C$18:$C$47,$C57)+COUNTIF('261011'!$I$18:$I$47,$C57)</f>
        <v>0</v>
      </c>
      <c r="P57" s="94">
        <f>COUNTIF('261012'!$C$18:$C$47,$C57)+COUNTIF('261012'!$I$18:$I$47,$C57)</f>
        <v>0</v>
      </c>
      <c r="Q57" s="94">
        <f>COUNTIF('261013'!$C$18:$C$47,$C57)+COUNTIF('261013'!$I$18:$I$47,$C57)</f>
        <v>0</v>
      </c>
      <c r="R57" s="94">
        <f>COUNTIF('261014'!$C$18:$C$47,$C57)+COUNTIF('261014'!$I$18:$I$47,$C57)</f>
        <v>0</v>
      </c>
      <c r="S57" s="94">
        <f>COUNTIF('261015'!$C$18:$C$47,$C57)+COUNTIF('261015'!$I$18:$I$47,$C57)</f>
        <v>0</v>
      </c>
      <c r="T57" s="94">
        <f>COUNTIF('261016'!$C$18:$C$47,$C57)+COUNTIF('261016'!$I$18:$I$47,$C57)</f>
        <v>0</v>
      </c>
      <c r="U57" s="94">
        <f>COUNTIF('261017'!$C$18:$C$47,$C57)+COUNTIF('261017'!$I$18:$I$47,$C57)</f>
        <v>0</v>
      </c>
      <c r="V57" s="94">
        <f>COUNTIF('261018'!$C$18:$C$47,$C57)+COUNTIF('261018'!$I$18:$I$47,$C57)</f>
        <v>0</v>
      </c>
      <c r="W57" s="94">
        <f>COUNTIF('261019'!$C$18:$C$47,$C57)+COUNTIF('261019'!$I$18:$I$47,$C57)</f>
        <v>0</v>
      </c>
      <c r="X57" s="94">
        <f>COUNTIF('261020'!$C$18:$C$47,$C57)+COUNTIF('261020'!$I$18:$I$47,$C57)</f>
        <v>0</v>
      </c>
      <c r="Y57" s="94">
        <f>COUNTIF('261021'!$C$18:$C$47,$C57)+COUNTIF('261021'!$I$18:$I$47,$C57)</f>
        <v>0</v>
      </c>
      <c r="Z57" s="94">
        <f>COUNTIF('261022'!$C$18:$C$47,$C57)+COUNTIF('261022'!$I$18:$I$47,$C57)</f>
        <v>0</v>
      </c>
      <c r="AA57" s="94">
        <f>COUNTIF('261023'!$C$18:$C$47,$C57)+COUNTIF('261023'!$I$18:$I$47,$C57)</f>
        <v>0</v>
      </c>
      <c r="AB57" s="94">
        <f>COUNTIF('261024'!$C$18:$C$47,$C57)+COUNTIF('261024'!$I$18:$I$47,$C57)</f>
        <v>0</v>
      </c>
      <c r="AC57" s="94">
        <f>COUNTIF('261025'!$C$18:$C$47,$C57)+COUNTIF('261025'!$I$18:$I$47,$C57)</f>
        <v>0</v>
      </c>
      <c r="AD57" s="94">
        <f>COUNTIF('261026'!$C$18:$C$47,$C57)+COUNTIF('261026'!$I$18:$I$47,$C57)</f>
        <v>0</v>
      </c>
      <c r="AE57" s="94">
        <f>COUNTIF('261027'!$C$18:$C$47,$C57)+COUNTIF('261027'!$I$18:$I$47,$C57)</f>
        <v>0</v>
      </c>
      <c r="AF57" s="94">
        <f>COUNTIF('261028'!$C$18:$C$47,$C57)+COUNTIF('261028'!$I$18:$I$47,$C57)</f>
        <v>0</v>
      </c>
      <c r="AG57" s="94">
        <f>COUNTIF('261029'!$C$18:$C$47,$C57)+COUNTIF('261029'!$I$18:$I$47,$C57)</f>
        <v>0</v>
      </c>
      <c r="AH57" s="94">
        <f>COUNTIF('261030'!$C$18:$C$47,$C57)+COUNTIF('261030'!$I$18:$I$47,$C57)</f>
        <v>0</v>
      </c>
      <c r="AI57" s="94">
        <f>COUNTIF('261031'!$C$18:$C$47,$C57)+COUNTIF('261031'!$I$18:$I$47,$C57)</f>
        <v>0</v>
      </c>
      <c r="AJ57" s="108">
        <f t="shared" si="3"/>
        <v>0</v>
      </c>
      <c r="AL57" s="16"/>
      <c r="AM57" s="16"/>
    </row>
    <row r="58" spans="2:39" ht="20.100000000000001" customHeight="1" x14ac:dyDescent="0.3">
      <c r="B58" s="36">
        <f t="shared" si="2"/>
        <v>54</v>
      </c>
      <c r="C58" s="62"/>
      <c r="D58" s="56"/>
      <c r="E58" s="94">
        <f>COUNTIF('261001'!$C$18:$C$47,$C58)+COUNTIF('261001'!$I$18:$I$47,$C58)</f>
        <v>0</v>
      </c>
      <c r="F58" s="94">
        <f>COUNTIF('261002'!$C$18:$C$47,$C58)+COUNTIF('261002'!$I$18:$I$47,$C58)</f>
        <v>0</v>
      </c>
      <c r="G58" s="94">
        <f>COUNTIF('261003'!$C$18:$C$47,$C58)+COUNTIF('261003'!$I$18:$I$47,$C58)</f>
        <v>0</v>
      </c>
      <c r="H58" s="94">
        <f>COUNTIF('261004'!$C$18:$C$47,$C58)+COUNTIF('261004'!$I$18:$I$47,$C58)</f>
        <v>0</v>
      </c>
      <c r="I58" s="94">
        <f>COUNTIF('261005'!$C$18:$C$47,$C58)+COUNTIF('261005'!$I$18:$I$47,$C58)</f>
        <v>0</v>
      </c>
      <c r="J58" s="94">
        <f>COUNTIF('261006'!$C$18:$C$47,$C58)+COUNTIF('261006'!$I$18:$I$47,$C58)</f>
        <v>0</v>
      </c>
      <c r="K58" s="94">
        <f>COUNTIF('261007'!$C$18:$C$47,$C58)+COUNTIF('261007'!$I$18:$I$47,$C58)</f>
        <v>0</v>
      </c>
      <c r="L58" s="94">
        <f>COUNTIF('261008'!$C$18:$C$47,$C58)+COUNTIF('261008'!$I$18:$I$47,$C58)</f>
        <v>0</v>
      </c>
      <c r="M58" s="94">
        <f>COUNTIF('261009'!$C$18:$C$47,$C58)+COUNTIF('261009'!$I$18:$I$47,$C58)</f>
        <v>0</v>
      </c>
      <c r="N58" s="94">
        <f>COUNTIF('261010'!$C$18:$C$47,$C58)+COUNTIF('261010'!$I$18:$I$47,$C58)</f>
        <v>0</v>
      </c>
      <c r="O58" s="94">
        <f>COUNTIF('261011'!$C$18:$C$47,$C58)+COUNTIF('261011'!$I$18:$I$47,$C58)</f>
        <v>0</v>
      </c>
      <c r="P58" s="94">
        <f>COUNTIF('261012'!$C$18:$C$47,$C58)+COUNTIF('261012'!$I$18:$I$47,$C58)</f>
        <v>0</v>
      </c>
      <c r="Q58" s="94">
        <f>COUNTIF('261013'!$C$18:$C$47,$C58)+COUNTIF('261013'!$I$18:$I$47,$C58)</f>
        <v>0</v>
      </c>
      <c r="R58" s="94">
        <f>COUNTIF('261014'!$C$18:$C$47,$C58)+COUNTIF('261014'!$I$18:$I$47,$C58)</f>
        <v>0</v>
      </c>
      <c r="S58" s="94">
        <f>COUNTIF('261015'!$C$18:$C$47,$C58)+COUNTIF('261015'!$I$18:$I$47,$C58)</f>
        <v>0</v>
      </c>
      <c r="T58" s="94">
        <f>COUNTIF('261016'!$C$18:$C$47,$C58)+COUNTIF('261016'!$I$18:$I$47,$C58)</f>
        <v>0</v>
      </c>
      <c r="U58" s="94">
        <f>COUNTIF('261017'!$C$18:$C$47,$C58)+COUNTIF('261017'!$I$18:$I$47,$C58)</f>
        <v>0</v>
      </c>
      <c r="V58" s="94">
        <f>COUNTIF('261018'!$C$18:$C$47,$C58)+COUNTIF('261018'!$I$18:$I$47,$C58)</f>
        <v>0</v>
      </c>
      <c r="W58" s="94">
        <f>COUNTIF('261019'!$C$18:$C$47,$C58)+COUNTIF('261019'!$I$18:$I$47,$C58)</f>
        <v>0</v>
      </c>
      <c r="X58" s="94">
        <f>COUNTIF('261020'!$C$18:$C$47,$C58)+COUNTIF('261020'!$I$18:$I$47,$C58)</f>
        <v>0</v>
      </c>
      <c r="Y58" s="94">
        <f>COUNTIF('261021'!$C$18:$C$47,$C58)+COUNTIF('261021'!$I$18:$I$47,$C58)</f>
        <v>0</v>
      </c>
      <c r="Z58" s="94">
        <f>COUNTIF('261022'!$C$18:$C$47,$C58)+COUNTIF('261022'!$I$18:$I$47,$C58)</f>
        <v>0</v>
      </c>
      <c r="AA58" s="94">
        <f>COUNTIF('261023'!$C$18:$C$47,$C58)+COUNTIF('261023'!$I$18:$I$47,$C58)</f>
        <v>0</v>
      </c>
      <c r="AB58" s="94">
        <f>COUNTIF('261024'!$C$18:$C$47,$C58)+COUNTIF('261024'!$I$18:$I$47,$C58)</f>
        <v>0</v>
      </c>
      <c r="AC58" s="94">
        <f>COUNTIF('261025'!$C$18:$C$47,$C58)+COUNTIF('261025'!$I$18:$I$47,$C58)</f>
        <v>0</v>
      </c>
      <c r="AD58" s="94">
        <f>COUNTIF('261026'!$C$18:$C$47,$C58)+COUNTIF('261026'!$I$18:$I$47,$C58)</f>
        <v>0</v>
      </c>
      <c r="AE58" s="94">
        <f>COUNTIF('261027'!$C$18:$C$47,$C58)+COUNTIF('261027'!$I$18:$I$47,$C58)</f>
        <v>0</v>
      </c>
      <c r="AF58" s="94">
        <f>COUNTIF('261028'!$C$18:$C$47,$C58)+COUNTIF('261028'!$I$18:$I$47,$C58)</f>
        <v>0</v>
      </c>
      <c r="AG58" s="94">
        <f>COUNTIF('261029'!$C$18:$C$47,$C58)+COUNTIF('261029'!$I$18:$I$47,$C58)</f>
        <v>0</v>
      </c>
      <c r="AH58" s="94">
        <f>COUNTIF('261030'!$C$18:$C$47,$C58)+COUNTIF('261030'!$I$18:$I$47,$C58)</f>
        <v>0</v>
      </c>
      <c r="AI58" s="94">
        <f>COUNTIF('261031'!$C$18:$C$47,$C58)+COUNTIF('261031'!$I$18:$I$47,$C58)</f>
        <v>0</v>
      </c>
      <c r="AJ58" s="108">
        <f t="shared" si="3"/>
        <v>0</v>
      </c>
      <c r="AL58" s="16"/>
      <c r="AM58" s="16"/>
    </row>
    <row r="59" spans="2:39" ht="20.100000000000001" customHeight="1" x14ac:dyDescent="0.3">
      <c r="B59" s="36">
        <f t="shared" si="2"/>
        <v>55</v>
      </c>
      <c r="C59" s="62"/>
      <c r="D59" s="56"/>
      <c r="E59" s="94">
        <f>COUNTIF('261001'!$C$18:$C$47,$C59)+COUNTIF('261001'!$I$18:$I$47,$C59)</f>
        <v>0</v>
      </c>
      <c r="F59" s="94">
        <f>COUNTIF('261002'!$C$18:$C$47,$C59)+COUNTIF('261002'!$I$18:$I$47,$C59)</f>
        <v>0</v>
      </c>
      <c r="G59" s="94">
        <f>COUNTIF('261003'!$C$18:$C$47,$C59)+COUNTIF('261003'!$I$18:$I$47,$C59)</f>
        <v>0</v>
      </c>
      <c r="H59" s="94">
        <f>COUNTIF('261004'!$C$18:$C$47,$C59)+COUNTIF('261004'!$I$18:$I$47,$C59)</f>
        <v>0</v>
      </c>
      <c r="I59" s="94">
        <f>COUNTIF('261005'!$C$18:$C$47,$C59)+COUNTIF('261005'!$I$18:$I$47,$C59)</f>
        <v>0</v>
      </c>
      <c r="J59" s="94">
        <f>COUNTIF('261006'!$C$18:$C$47,$C59)+COUNTIF('261006'!$I$18:$I$47,$C59)</f>
        <v>0</v>
      </c>
      <c r="K59" s="94">
        <f>COUNTIF('261007'!$C$18:$C$47,$C59)+COUNTIF('261007'!$I$18:$I$47,$C59)</f>
        <v>0</v>
      </c>
      <c r="L59" s="94">
        <f>COUNTIF('261008'!$C$18:$C$47,$C59)+COUNTIF('261008'!$I$18:$I$47,$C59)</f>
        <v>0</v>
      </c>
      <c r="M59" s="94">
        <f>COUNTIF('261009'!$C$18:$C$47,$C59)+COUNTIF('261009'!$I$18:$I$47,$C59)</f>
        <v>0</v>
      </c>
      <c r="N59" s="94">
        <f>COUNTIF('261010'!$C$18:$C$47,$C59)+COUNTIF('261010'!$I$18:$I$47,$C59)</f>
        <v>0</v>
      </c>
      <c r="O59" s="94">
        <f>COUNTIF('261011'!$C$18:$C$47,$C59)+COUNTIF('261011'!$I$18:$I$47,$C59)</f>
        <v>0</v>
      </c>
      <c r="P59" s="94">
        <f>COUNTIF('261012'!$C$18:$C$47,$C59)+COUNTIF('261012'!$I$18:$I$47,$C59)</f>
        <v>0</v>
      </c>
      <c r="Q59" s="94">
        <f>COUNTIF('261013'!$C$18:$C$47,$C59)+COUNTIF('261013'!$I$18:$I$47,$C59)</f>
        <v>0</v>
      </c>
      <c r="R59" s="94">
        <f>COUNTIF('261014'!$C$18:$C$47,$C59)+COUNTIF('261014'!$I$18:$I$47,$C59)</f>
        <v>0</v>
      </c>
      <c r="S59" s="94">
        <f>COUNTIF('261015'!$C$18:$C$47,$C59)+COUNTIF('261015'!$I$18:$I$47,$C59)</f>
        <v>0</v>
      </c>
      <c r="T59" s="94">
        <f>COUNTIF('261016'!$C$18:$C$47,$C59)+COUNTIF('261016'!$I$18:$I$47,$C59)</f>
        <v>0</v>
      </c>
      <c r="U59" s="94">
        <f>COUNTIF('261017'!$C$18:$C$47,$C59)+COUNTIF('261017'!$I$18:$I$47,$C59)</f>
        <v>0</v>
      </c>
      <c r="V59" s="94">
        <f>COUNTIF('261018'!$C$18:$C$47,$C59)+COUNTIF('261018'!$I$18:$I$47,$C59)</f>
        <v>0</v>
      </c>
      <c r="W59" s="94">
        <f>COUNTIF('261019'!$C$18:$C$47,$C59)+COUNTIF('261019'!$I$18:$I$47,$C59)</f>
        <v>0</v>
      </c>
      <c r="X59" s="94">
        <f>COUNTIF('261020'!$C$18:$C$47,$C59)+COUNTIF('261020'!$I$18:$I$47,$C59)</f>
        <v>0</v>
      </c>
      <c r="Y59" s="94">
        <f>COUNTIF('261021'!$C$18:$C$47,$C59)+COUNTIF('261021'!$I$18:$I$47,$C59)</f>
        <v>0</v>
      </c>
      <c r="Z59" s="94">
        <f>COUNTIF('261022'!$C$18:$C$47,$C59)+COUNTIF('261022'!$I$18:$I$47,$C59)</f>
        <v>0</v>
      </c>
      <c r="AA59" s="94">
        <f>COUNTIF('261023'!$C$18:$C$47,$C59)+COUNTIF('261023'!$I$18:$I$47,$C59)</f>
        <v>0</v>
      </c>
      <c r="AB59" s="94">
        <f>COUNTIF('261024'!$C$18:$C$47,$C59)+COUNTIF('261024'!$I$18:$I$47,$C59)</f>
        <v>0</v>
      </c>
      <c r="AC59" s="94">
        <f>COUNTIF('261025'!$C$18:$C$47,$C59)+COUNTIF('261025'!$I$18:$I$47,$C59)</f>
        <v>0</v>
      </c>
      <c r="AD59" s="94">
        <f>COUNTIF('261026'!$C$18:$C$47,$C59)+COUNTIF('261026'!$I$18:$I$47,$C59)</f>
        <v>0</v>
      </c>
      <c r="AE59" s="94">
        <f>COUNTIF('261027'!$C$18:$C$47,$C59)+COUNTIF('261027'!$I$18:$I$47,$C59)</f>
        <v>0</v>
      </c>
      <c r="AF59" s="94">
        <f>COUNTIF('261028'!$C$18:$C$47,$C59)+COUNTIF('261028'!$I$18:$I$47,$C59)</f>
        <v>0</v>
      </c>
      <c r="AG59" s="94">
        <f>COUNTIF('261029'!$C$18:$C$47,$C59)+COUNTIF('261029'!$I$18:$I$47,$C59)</f>
        <v>0</v>
      </c>
      <c r="AH59" s="94">
        <f>COUNTIF('261030'!$C$18:$C$47,$C59)+COUNTIF('261030'!$I$18:$I$47,$C59)</f>
        <v>0</v>
      </c>
      <c r="AI59" s="94">
        <f>COUNTIF('261031'!$C$18:$C$47,$C59)+COUNTIF('261031'!$I$18:$I$47,$C59)</f>
        <v>0</v>
      </c>
      <c r="AJ59" s="108">
        <f t="shared" si="3"/>
        <v>0</v>
      </c>
      <c r="AL59" s="16"/>
      <c r="AM59" s="16"/>
    </row>
    <row r="60" spans="2:39" ht="20.100000000000001" customHeight="1" x14ac:dyDescent="0.3">
      <c r="B60" s="36">
        <f t="shared" si="2"/>
        <v>56</v>
      </c>
      <c r="C60" s="62"/>
      <c r="D60" s="56"/>
      <c r="E60" s="94">
        <f>COUNTIF('261001'!$C$18:$C$47,$C60)+COUNTIF('261001'!$I$18:$I$47,$C60)</f>
        <v>0</v>
      </c>
      <c r="F60" s="94">
        <f>COUNTIF('261002'!$C$18:$C$47,$C60)+COUNTIF('261002'!$I$18:$I$47,$C60)</f>
        <v>0</v>
      </c>
      <c r="G60" s="94">
        <f>COUNTIF('261003'!$C$18:$C$47,$C60)+COUNTIF('261003'!$I$18:$I$47,$C60)</f>
        <v>0</v>
      </c>
      <c r="H60" s="94">
        <f>COUNTIF('261004'!$C$18:$C$47,$C60)+COUNTIF('261004'!$I$18:$I$47,$C60)</f>
        <v>0</v>
      </c>
      <c r="I60" s="94">
        <f>COUNTIF('261005'!$C$18:$C$47,$C60)+COUNTIF('261005'!$I$18:$I$47,$C60)</f>
        <v>0</v>
      </c>
      <c r="J60" s="94">
        <f>COUNTIF('261006'!$C$18:$C$47,$C60)+COUNTIF('261006'!$I$18:$I$47,$C60)</f>
        <v>0</v>
      </c>
      <c r="K60" s="94">
        <f>COUNTIF('261007'!$C$18:$C$47,$C60)+COUNTIF('261007'!$I$18:$I$47,$C60)</f>
        <v>0</v>
      </c>
      <c r="L60" s="94">
        <f>COUNTIF('261008'!$C$18:$C$47,$C60)+COUNTIF('261008'!$I$18:$I$47,$C60)</f>
        <v>0</v>
      </c>
      <c r="M60" s="94">
        <f>COUNTIF('261009'!$C$18:$C$47,$C60)+COUNTIF('261009'!$I$18:$I$47,$C60)</f>
        <v>0</v>
      </c>
      <c r="N60" s="94">
        <f>COUNTIF('261010'!$C$18:$C$47,$C60)+COUNTIF('261010'!$I$18:$I$47,$C60)</f>
        <v>0</v>
      </c>
      <c r="O60" s="94">
        <f>COUNTIF('261011'!$C$18:$C$47,$C60)+COUNTIF('261011'!$I$18:$I$47,$C60)</f>
        <v>0</v>
      </c>
      <c r="P60" s="94">
        <f>COUNTIF('261012'!$C$18:$C$47,$C60)+COUNTIF('261012'!$I$18:$I$47,$C60)</f>
        <v>0</v>
      </c>
      <c r="Q60" s="94">
        <f>COUNTIF('261013'!$C$18:$C$47,$C60)+COUNTIF('261013'!$I$18:$I$47,$C60)</f>
        <v>0</v>
      </c>
      <c r="R60" s="94">
        <f>COUNTIF('261014'!$C$18:$C$47,$C60)+COUNTIF('261014'!$I$18:$I$47,$C60)</f>
        <v>0</v>
      </c>
      <c r="S60" s="94">
        <f>COUNTIF('261015'!$C$18:$C$47,$C60)+COUNTIF('261015'!$I$18:$I$47,$C60)</f>
        <v>0</v>
      </c>
      <c r="T60" s="94">
        <f>COUNTIF('261016'!$C$18:$C$47,$C60)+COUNTIF('261016'!$I$18:$I$47,$C60)</f>
        <v>0</v>
      </c>
      <c r="U60" s="94">
        <f>COUNTIF('261017'!$C$18:$C$47,$C60)+COUNTIF('261017'!$I$18:$I$47,$C60)</f>
        <v>0</v>
      </c>
      <c r="V60" s="94">
        <f>COUNTIF('261018'!$C$18:$C$47,$C60)+COUNTIF('261018'!$I$18:$I$47,$C60)</f>
        <v>0</v>
      </c>
      <c r="W60" s="94">
        <f>COUNTIF('261019'!$C$18:$C$47,$C60)+COUNTIF('261019'!$I$18:$I$47,$C60)</f>
        <v>0</v>
      </c>
      <c r="X60" s="94">
        <f>COUNTIF('261020'!$C$18:$C$47,$C60)+COUNTIF('261020'!$I$18:$I$47,$C60)</f>
        <v>0</v>
      </c>
      <c r="Y60" s="94">
        <f>COUNTIF('261021'!$C$18:$C$47,$C60)+COUNTIF('261021'!$I$18:$I$47,$C60)</f>
        <v>0</v>
      </c>
      <c r="Z60" s="94">
        <f>COUNTIF('261022'!$C$18:$C$47,$C60)+COUNTIF('261022'!$I$18:$I$47,$C60)</f>
        <v>0</v>
      </c>
      <c r="AA60" s="94">
        <f>COUNTIF('261023'!$C$18:$C$47,$C60)+COUNTIF('261023'!$I$18:$I$47,$C60)</f>
        <v>0</v>
      </c>
      <c r="AB60" s="94">
        <f>COUNTIF('261024'!$C$18:$C$47,$C60)+COUNTIF('261024'!$I$18:$I$47,$C60)</f>
        <v>0</v>
      </c>
      <c r="AC60" s="94">
        <f>COUNTIF('261025'!$C$18:$C$47,$C60)+COUNTIF('261025'!$I$18:$I$47,$C60)</f>
        <v>0</v>
      </c>
      <c r="AD60" s="94">
        <f>COUNTIF('261026'!$C$18:$C$47,$C60)+COUNTIF('261026'!$I$18:$I$47,$C60)</f>
        <v>0</v>
      </c>
      <c r="AE60" s="94">
        <f>COUNTIF('261027'!$C$18:$C$47,$C60)+COUNTIF('261027'!$I$18:$I$47,$C60)</f>
        <v>0</v>
      </c>
      <c r="AF60" s="94">
        <f>COUNTIF('261028'!$C$18:$C$47,$C60)+COUNTIF('261028'!$I$18:$I$47,$C60)</f>
        <v>0</v>
      </c>
      <c r="AG60" s="94">
        <f>COUNTIF('261029'!$C$18:$C$47,$C60)+COUNTIF('261029'!$I$18:$I$47,$C60)</f>
        <v>0</v>
      </c>
      <c r="AH60" s="94">
        <f>COUNTIF('261030'!$C$18:$C$47,$C60)+COUNTIF('261030'!$I$18:$I$47,$C60)</f>
        <v>0</v>
      </c>
      <c r="AI60" s="94">
        <f>COUNTIF('261031'!$C$18:$C$47,$C60)+COUNTIF('261031'!$I$18:$I$47,$C60)</f>
        <v>0</v>
      </c>
      <c r="AJ60" s="108">
        <f t="shared" si="3"/>
        <v>0</v>
      </c>
      <c r="AL60" s="16"/>
      <c r="AM60" s="16"/>
    </row>
    <row r="61" spans="2:39" ht="20.100000000000001" customHeight="1" x14ac:dyDescent="0.3">
      <c r="B61" s="36">
        <f t="shared" si="2"/>
        <v>57</v>
      </c>
      <c r="C61" s="62"/>
      <c r="D61" s="56"/>
      <c r="E61" s="94">
        <f>COUNTIF('261001'!$C$18:$C$47,$C61)+COUNTIF('261001'!$I$18:$I$47,$C61)</f>
        <v>0</v>
      </c>
      <c r="F61" s="94">
        <f>COUNTIF('261002'!$C$18:$C$47,$C61)+COUNTIF('261002'!$I$18:$I$47,$C61)</f>
        <v>0</v>
      </c>
      <c r="G61" s="94">
        <f>COUNTIF('261003'!$C$18:$C$47,$C61)+COUNTIF('261003'!$I$18:$I$47,$C61)</f>
        <v>0</v>
      </c>
      <c r="H61" s="94">
        <f>COUNTIF('261004'!$C$18:$C$47,$C61)+COUNTIF('261004'!$I$18:$I$47,$C61)</f>
        <v>0</v>
      </c>
      <c r="I61" s="94">
        <f>COUNTIF('261005'!$C$18:$C$47,$C61)+COUNTIF('261005'!$I$18:$I$47,$C61)</f>
        <v>0</v>
      </c>
      <c r="J61" s="94">
        <f>COUNTIF('261006'!$C$18:$C$47,$C61)+COUNTIF('261006'!$I$18:$I$47,$C61)</f>
        <v>0</v>
      </c>
      <c r="K61" s="94">
        <f>COUNTIF('261007'!$C$18:$C$47,$C61)+COUNTIF('261007'!$I$18:$I$47,$C61)</f>
        <v>0</v>
      </c>
      <c r="L61" s="94">
        <f>COUNTIF('261008'!$C$18:$C$47,$C61)+COUNTIF('261008'!$I$18:$I$47,$C61)</f>
        <v>0</v>
      </c>
      <c r="M61" s="94">
        <f>COUNTIF('261009'!$C$18:$C$47,$C61)+COUNTIF('261009'!$I$18:$I$47,$C61)</f>
        <v>0</v>
      </c>
      <c r="N61" s="94">
        <f>COUNTIF('261010'!$C$18:$C$47,$C61)+COUNTIF('261010'!$I$18:$I$47,$C61)</f>
        <v>0</v>
      </c>
      <c r="O61" s="94">
        <f>COUNTIF('261011'!$C$18:$C$47,$C61)+COUNTIF('261011'!$I$18:$I$47,$C61)</f>
        <v>0</v>
      </c>
      <c r="P61" s="94">
        <f>COUNTIF('261012'!$C$18:$C$47,$C61)+COUNTIF('261012'!$I$18:$I$47,$C61)</f>
        <v>0</v>
      </c>
      <c r="Q61" s="94">
        <f>COUNTIF('261013'!$C$18:$C$47,$C61)+COUNTIF('261013'!$I$18:$I$47,$C61)</f>
        <v>0</v>
      </c>
      <c r="R61" s="94">
        <f>COUNTIF('261014'!$C$18:$C$47,$C61)+COUNTIF('261014'!$I$18:$I$47,$C61)</f>
        <v>0</v>
      </c>
      <c r="S61" s="94">
        <f>COUNTIF('261015'!$C$18:$C$47,$C61)+COUNTIF('261015'!$I$18:$I$47,$C61)</f>
        <v>0</v>
      </c>
      <c r="T61" s="94">
        <f>COUNTIF('261016'!$C$18:$C$47,$C61)+COUNTIF('261016'!$I$18:$I$47,$C61)</f>
        <v>0</v>
      </c>
      <c r="U61" s="94">
        <f>COUNTIF('261017'!$C$18:$C$47,$C61)+COUNTIF('261017'!$I$18:$I$47,$C61)</f>
        <v>0</v>
      </c>
      <c r="V61" s="94">
        <f>COUNTIF('261018'!$C$18:$C$47,$C61)+COUNTIF('261018'!$I$18:$I$47,$C61)</f>
        <v>0</v>
      </c>
      <c r="W61" s="94">
        <f>COUNTIF('261019'!$C$18:$C$47,$C61)+COUNTIF('261019'!$I$18:$I$47,$C61)</f>
        <v>0</v>
      </c>
      <c r="X61" s="94">
        <f>COUNTIF('261020'!$C$18:$C$47,$C61)+COUNTIF('261020'!$I$18:$I$47,$C61)</f>
        <v>0</v>
      </c>
      <c r="Y61" s="94">
        <f>COUNTIF('261021'!$C$18:$C$47,$C61)+COUNTIF('261021'!$I$18:$I$47,$C61)</f>
        <v>0</v>
      </c>
      <c r="Z61" s="94">
        <f>COUNTIF('261022'!$C$18:$C$47,$C61)+COUNTIF('261022'!$I$18:$I$47,$C61)</f>
        <v>0</v>
      </c>
      <c r="AA61" s="94">
        <f>COUNTIF('261023'!$C$18:$C$47,$C61)+COUNTIF('261023'!$I$18:$I$47,$C61)</f>
        <v>0</v>
      </c>
      <c r="AB61" s="94">
        <f>COUNTIF('261024'!$C$18:$C$47,$C61)+COUNTIF('261024'!$I$18:$I$47,$C61)</f>
        <v>0</v>
      </c>
      <c r="AC61" s="94">
        <f>COUNTIF('261025'!$C$18:$C$47,$C61)+COUNTIF('261025'!$I$18:$I$47,$C61)</f>
        <v>0</v>
      </c>
      <c r="AD61" s="94">
        <f>COUNTIF('261026'!$C$18:$C$47,$C61)+COUNTIF('261026'!$I$18:$I$47,$C61)</f>
        <v>0</v>
      </c>
      <c r="AE61" s="94">
        <f>COUNTIF('261027'!$C$18:$C$47,$C61)+COUNTIF('261027'!$I$18:$I$47,$C61)</f>
        <v>0</v>
      </c>
      <c r="AF61" s="94">
        <f>COUNTIF('261028'!$C$18:$C$47,$C61)+COUNTIF('261028'!$I$18:$I$47,$C61)</f>
        <v>0</v>
      </c>
      <c r="AG61" s="94">
        <f>COUNTIF('261029'!$C$18:$C$47,$C61)+COUNTIF('261029'!$I$18:$I$47,$C61)</f>
        <v>0</v>
      </c>
      <c r="AH61" s="94">
        <f>COUNTIF('261030'!$C$18:$C$47,$C61)+COUNTIF('261030'!$I$18:$I$47,$C61)</f>
        <v>0</v>
      </c>
      <c r="AI61" s="94">
        <f>COUNTIF('261031'!$C$18:$C$47,$C61)+COUNTIF('261031'!$I$18:$I$47,$C61)</f>
        <v>0</v>
      </c>
      <c r="AJ61" s="108">
        <f t="shared" si="3"/>
        <v>0</v>
      </c>
      <c r="AL61" s="16"/>
      <c r="AM61" s="16"/>
    </row>
    <row r="62" spans="2:39" ht="20.100000000000001" customHeight="1" x14ac:dyDescent="0.3">
      <c r="B62" s="36">
        <f t="shared" si="2"/>
        <v>58</v>
      </c>
      <c r="C62" s="62"/>
      <c r="D62" s="56"/>
      <c r="E62" s="94">
        <f>COUNTIF('261001'!$C$18:$C$47,$C62)+COUNTIF('261001'!$I$18:$I$47,$C62)</f>
        <v>0</v>
      </c>
      <c r="F62" s="94">
        <f>COUNTIF('261002'!$C$18:$C$47,$C62)+COUNTIF('261002'!$I$18:$I$47,$C62)</f>
        <v>0</v>
      </c>
      <c r="G62" s="94">
        <f>COUNTIF('261003'!$C$18:$C$47,$C62)+COUNTIF('261003'!$I$18:$I$47,$C62)</f>
        <v>0</v>
      </c>
      <c r="H62" s="94">
        <f>COUNTIF('261004'!$C$18:$C$47,$C62)+COUNTIF('261004'!$I$18:$I$47,$C62)</f>
        <v>0</v>
      </c>
      <c r="I62" s="94">
        <f>COUNTIF('261005'!$C$18:$C$47,$C62)+COUNTIF('261005'!$I$18:$I$47,$C62)</f>
        <v>0</v>
      </c>
      <c r="J62" s="94">
        <f>COUNTIF('261006'!$C$18:$C$47,$C62)+COUNTIF('261006'!$I$18:$I$47,$C62)</f>
        <v>0</v>
      </c>
      <c r="K62" s="94">
        <f>COUNTIF('261007'!$C$18:$C$47,$C62)+COUNTIF('261007'!$I$18:$I$47,$C62)</f>
        <v>0</v>
      </c>
      <c r="L62" s="94">
        <f>COUNTIF('261008'!$C$18:$C$47,$C62)+COUNTIF('261008'!$I$18:$I$47,$C62)</f>
        <v>0</v>
      </c>
      <c r="M62" s="94">
        <f>COUNTIF('261009'!$C$18:$C$47,$C62)+COUNTIF('261009'!$I$18:$I$47,$C62)</f>
        <v>0</v>
      </c>
      <c r="N62" s="94">
        <f>COUNTIF('261010'!$C$18:$C$47,$C62)+COUNTIF('261010'!$I$18:$I$47,$C62)</f>
        <v>0</v>
      </c>
      <c r="O62" s="94">
        <f>COUNTIF('261011'!$C$18:$C$47,$C62)+COUNTIF('261011'!$I$18:$I$47,$C62)</f>
        <v>0</v>
      </c>
      <c r="P62" s="94">
        <f>COUNTIF('261012'!$C$18:$C$47,$C62)+COUNTIF('261012'!$I$18:$I$47,$C62)</f>
        <v>0</v>
      </c>
      <c r="Q62" s="94">
        <f>COUNTIF('261013'!$C$18:$C$47,$C62)+COUNTIF('261013'!$I$18:$I$47,$C62)</f>
        <v>0</v>
      </c>
      <c r="R62" s="94">
        <f>COUNTIF('261014'!$C$18:$C$47,$C62)+COUNTIF('261014'!$I$18:$I$47,$C62)</f>
        <v>0</v>
      </c>
      <c r="S62" s="94">
        <f>COUNTIF('261015'!$C$18:$C$47,$C62)+COUNTIF('261015'!$I$18:$I$47,$C62)</f>
        <v>0</v>
      </c>
      <c r="T62" s="94">
        <f>COUNTIF('261016'!$C$18:$C$47,$C62)+COUNTIF('261016'!$I$18:$I$47,$C62)</f>
        <v>0</v>
      </c>
      <c r="U62" s="94">
        <f>COUNTIF('261017'!$C$18:$C$47,$C62)+COUNTIF('261017'!$I$18:$I$47,$C62)</f>
        <v>0</v>
      </c>
      <c r="V62" s="94">
        <f>COUNTIF('261018'!$C$18:$C$47,$C62)+COUNTIF('261018'!$I$18:$I$47,$C62)</f>
        <v>0</v>
      </c>
      <c r="W62" s="94">
        <f>COUNTIF('261019'!$C$18:$C$47,$C62)+COUNTIF('261019'!$I$18:$I$47,$C62)</f>
        <v>0</v>
      </c>
      <c r="X62" s="94">
        <f>COUNTIF('261020'!$C$18:$C$47,$C62)+COUNTIF('261020'!$I$18:$I$47,$C62)</f>
        <v>0</v>
      </c>
      <c r="Y62" s="94">
        <f>COUNTIF('261021'!$C$18:$C$47,$C62)+COUNTIF('261021'!$I$18:$I$47,$C62)</f>
        <v>0</v>
      </c>
      <c r="Z62" s="94">
        <f>COUNTIF('261022'!$C$18:$C$47,$C62)+COUNTIF('261022'!$I$18:$I$47,$C62)</f>
        <v>0</v>
      </c>
      <c r="AA62" s="94">
        <f>COUNTIF('261023'!$C$18:$C$47,$C62)+COUNTIF('261023'!$I$18:$I$47,$C62)</f>
        <v>0</v>
      </c>
      <c r="AB62" s="94">
        <f>COUNTIF('261024'!$C$18:$C$47,$C62)+COUNTIF('261024'!$I$18:$I$47,$C62)</f>
        <v>0</v>
      </c>
      <c r="AC62" s="94">
        <f>COUNTIF('261025'!$C$18:$C$47,$C62)+COUNTIF('261025'!$I$18:$I$47,$C62)</f>
        <v>0</v>
      </c>
      <c r="AD62" s="94">
        <f>COUNTIF('261026'!$C$18:$C$47,$C62)+COUNTIF('261026'!$I$18:$I$47,$C62)</f>
        <v>0</v>
      </c>
      <c r="AE62" s="94">
        <f>COUNTIF('261027'!$C$18:$C$47,$C62)+COUNTIF('261027'!$I$18:$I$47,$C62)</f>
        <v>0</v>
      </c>
      <c r="AF62" s="94">
        <f>COUNTIF('261028'!$C$18:$C$47,$C62)+COUNTIF('261028'!$I$18:$I$47,$C62)</f>
        <v>0</v>
      </c>
      <c r="AG62" s="94">
        <f>COUNTIF('261029'!$C$18:$C$47,$C62)+COUNTIF('261029'!$I$18:$I$47,$C62)</f>
        <v>0</v>
      </c>
      <c r="AH62" s="94">
        <f>COUNTIF('261030'!$C$18:$C$47,$C62)+COUNTIF('261030'!$I$18:$I$47,$C62)</f>
        <v>0</v>
      </c>
      <c r="AI62" s="94">
        <f>COUNTIF('261031'!$C$18:$C$47,$C62)+COUNTIF('261031'!$I$18:$I$47,$C62)</f>
        <v>0</v>
      </c>
      <c r="AJ62" s="108">
        <f t="shared" si="3"/>
        <v>0</v>
      </c>
      <c r="AL62" s="16"/>
      <c r="AM62" s="16"/>
    </row>
    <row r="63" spans="2:39" ht="20.100000000000001" customHeight="1" x14ac:dyDescent="0.3">
      <c r="B63" s="36">
        <f t="shared" si="2"/>
        <v>59</v>
      </c>
      <c r="C63" s="62"/>
      <c r="D63" s="56"/>
      <c r="E63" s="94">
        <f>COUNTIF('261001'!$C$18:$C$47,$C63)+COUNTIF('261001'!$I$18:$I$47,$C63)</f>
        <v>0</v>
      </c>
      <c r="F63" s="94">
        <f>COUNTIF('261002'!$C$18:$C$47,$C63)+COUNTIF('261002'!$I$18:$I$47,$C63)</f>
        <v>0</v>
      </c>
      <c r="G63" s="94">
        <f>COUNTIF('261003'!$C$18:$C$47,$C63)+COUNTIF('261003'!$I$18:$I$47,$C63)</f>
        <v>0</v>
      </c>
      <c r="H63" s="94">
        <f>COUNTIF('261004'!$C$18:$C$47,$C63)+COUNTIF('261004'!$I$18:$I$47,$C63)</f>
        <v>0</v>
      </c>
      <c r="I63" s="94">
        <f>COUNTIF('261005'!$C$18:$C$47,$C63)+COUNTIF('261005'!$I$18:$I$47,$C63)</f>
        <v>0</v>
      </c>
      <c r="J63" s="94">
        <f>COUNTIF('261006'!$C$18:$C$47,$C63)+COUNTIF('261006'!$I$18:$I$47,$C63)</f>
        <v>0</v>
      </c>
      <c r="K63" s="94">
        <f>COUNTIF('261007'!$C$18:$C$47,$C63)+COUNTIF('261007'!$I$18:$I$47,$C63)</f>
        <v>0</v>
      </c>
      <c r="L63" s="94">
        <f>COUNTIF('261008'!$C$18:$C$47,$C63)+COUNTIF('261008'!$I$18:$I$47,$C63)</f>
        <v>0</v>
      </c>
      <c r="M63" s="94">
        <f>COUNTIF('261009'!$C$18:$C$47,$C63)+COUNTIF('261009'!$I$18:$I$47,$C63)</f>
        <v>0</v>
      </c>
      <c r="N63" s="94">
        <f>COUNTIF('261010'!$C$18:$C$47,$C63)+COUNTIF('261010'!$I$18:$I$47,$C63)</f>
        <v>0</v>
      </c>
      <c r="O63" s="94">
        <f>COUNTIF('261011'!$C$18:$C$47,$C63)+COUNTIF('261011'!$I$18:$I$47,$C63)</f>
        <v>0</v>
      </c>
      <c r="P63" s="94">
        <f>COUNTIF('261012'!$C$18:$C$47,$C63)+COUNTIF('261012'!$I$18:$I$47,$C63)</f>
        <v>0</v>
      </c>
      <c r="Q63" s="94">
        <f>COUNTIF('261013'!$C$18:$C$47,$C63)+COUNTIF('261013'!$I$18:$I$47,$C63)</f>
        <v>0</v>
      </c>
      <c r="R63" s="94">
        <f>COUNTIF('261014'!$C$18:$C$47,$C63)+COUNTIF('261014'!$I$18:$I$47,$C63)</f>
        <v>0</v>
      </c>
      <c r="S63" s="94">
        <f>COUNTIF('261015'!$C$18:$C$47,$C63)+COUNTIF('261015'!$I$18:$I$47,$C63)</f>
        <v>0</v>
      </c>
      <c r="T63" s="94">
        <f>COUNTIF('261016'!$C$18:$C$47,$C63)+COUNTIF('261016'!$I$18:$I$47,$C63)</f>
        <v>0</v>
      </c>
      <c r="U63" s="94">
        <f>COUNTIF('261017'!$C$18:$C$47,$C63)+COUNTIF('261017'!$I$18:$I$47,$C63)</f>
        <v>0</v>
      </c>
      <c r="V63" s="94">
        <f>COUNTIF('261018'!$C$18:$C$47,$C63)+COUNTIF('261018'!$I$18:$I$47,$C63)</f>
        <v>0</v>
      </c>
      <c r="W63" s="94">
        <f>COUNTIF('261019'!$C$18:$C$47,$C63)+COUNTIF('261019'!$I$18:$I$47,$C63)</f>
        <v>0</v>
      </c>
      <c r="X63" s="94">
        <f>COUNTIF('261020'!$C$18:$C$47,$C63)+COUNTIF('261020'!$I$18:$I$47,$C63)</f>
        <v>0</v>
      </c>
      <c r="Y63" s="94">
        <f>COUNTIF('261021'!$C$18:$C$47,$C63)+COUNTIF('261021'!$I$18:$I$47,$C63)</f>
        <v>0</v>
      </c>
      <c r="Z63" s="94">
        <f>COUNTIF('261022'!$C$18:$C$47,$C63)+COUNTIF('261022'!$I$18:$I$47,$C63)</f>
        <v>0</v>
      </c>
      <c r="AA63" s="94">
        <f>COUNTIF('261023'!$C$18:$C$47,$C63)+COUNTIF('261023'!$I$18:$I$47,$C63)</f>
        <v>0</v>
      </c>
      <c r="AB63" s="94">
        <f>COUNTIF('261024'!$C$18:$C$47,$C63)+COUNTIF('261024'!$I$18:$I$47,$C63)</f>
        <v>0</v>
      </c>
      <c r="AC63" s="94">
        <f>COUNTIF('261025'!$C$18:$C$47,$C63)+COUNTIF('261025'!$I$18:$I$47,$C63)</f>
        <v>0</v>
      </c>
      <c r="AD63" s="94">
        <f>COUNTIF('261026'!$C$18:$C$47,$C63)+COUNTIF('261026'!$I$18:$I$47,$C63)</f>
        <v>0</v>
      </c>
      <c r="AE63" s="94">
        <f>COUNTIF('261027'!$C$18:$C$47,$C63)+COUNTIF('261027'!$I$18:$I$47,$C63)</f>
        <v>0</v>
      </c>
      <c r="AF63" s="94">
        <f>COUNTIF('261028'!$C$18:$C$47,$C63)+COUNTIF('261028'!$I$18:$I$47,$C63)</f>
        <v>0</v>
      </c>
      <c r="AG63" s="94">
        <f>COUNTIF('261029'!$C$18:$C$47,$C63)+COUNTIF('261029'!$I$18:$I$47,$C63)</f>
        <v>0</v>
      </c>
      <c r="AH63" s="94">
        <f>COUNTIF('261030'!$C$18:$C$47,$C63)+COUNTIF('261030'!$I$18:$I$47,$C63)</f>
        <v>0</v>
      </c>
      <c r="AI63" s="94">
        <f>COUNTIF('261031'!$C$18:$C$47,$C63)+COUNTIF('261031'!$I$18:$I$47,$C63)</f>
        <v>0</v>
      </c>
      <c r="AJ63" s="108">
        <f t="shared" si="3"/>
        <v>0</v>
      </c>
      <c r="AL63" s="16"/>
      <c r="AM63" s="16"/>
    </row>
    <row r="64" spans="2:39" ht="20.100000000000001" customHeight="1" x14ac:dyDescent="0.3">
      <c r="B64" s="36">
        <f t="shared" si="2"/>
        <v>60</v>
      </c>
      <c r="C64" s="62"/>
      <c r="D64" s="56"/>
      <c r="E64" s="94">
        <f>COUNTIF('261001'!$C$18:$C$47,$C64)+COUNTIF('261001'!$I$18:$I$47,$C64)</f>
        <v>0</v>
      </c>
      <c r="F64" s="94">
        <f>COUNTIF('261002'!$C$18:$C$47,$C64)+COUNTIF('261002'!$I$18:$I$47,$C64)</f>
        <v>0</v>
      </c>
      <c r="G64" s="94">
        <f>COUNTIF('261003'!$C$18:$C$47,$C64)+COUNTIF('261003'!$I$18:$I$47,$C64)</f>
        <v>0</v>
      </c>
      <c r="H64" s="94">
        <f>COUNTIF('261004'!$C$18:$C$47,$C64)+COUNTIF('261004'!$I$18:$I$47,$C64)</f>
        <v>0</v>
      </c>
      <c r="I64" s="94">
        <f>COUNTIF('261005'!$C$18:$C$47,$C64)+COUNTIF('261005'!$I$18:$I$47,$C64)</f>
        <v>0</v>
      </c>
      <c r="J64" s="94">
        <f>COUNTIF('261006'!$C$18:$C$47,$C64)+COUNTIF('261006'!$I$18:$I$47,$C64)</f>
        <v>0</v>
      </c>
      <c r="K64" s="94">
        <f>COUNTIF('261007'!$C$18:$C$47,$C64)+COUNTIF('261007'!$I$18:$I$47,$C64)</f>
        <v>0</v>
      </c>
      <c r="L64" s="94">
        <f>COUNTIF('261008'!$C$18:$C$47,$C64)+COUNTIF('261008'!$I$18:$I$47,$C64)</f>
        <v>0</v>
      </c>
      <c r="M64" s="94">
        <f>COUNTIF('261009'!$C$18:$C$47,$C64)+COUNTIF('261009'!$I$18:$I$47,$C64)</f>
        <v>0</v>
      </c>
      <c r="N64" s="94">
        <f>COUNTIF('261010'!$C$18:$C$47,$C64)+COUNTIF('261010'!$I$18:$I$47,$C64)</f>
        <v>0</v>
      </c>
      <c r="O64" s="94">
        <f>COUNTIF('261011'!$C$18:$C$47,$C64)+COUNTIF('261011'!$I$18:$I$47,$C64)</f>
        <v>0</v>
      </c>
      <c r="P64" s="94">
        <f>COUNTIF('261012'!$C$18:$C$47,$C64)+COUNTIF('261012'!$I$18:$I$47,$C64)</f>
        <v>0</v>
      </c>
      <c r="Q64" s="94">
        <f>COUNTIF('261013'!$C$18:$C$47,$C64)+COUNTIF('261013'!$I$18:$I$47,$C64)</f>
        <v>0</v>
      </c>
      <c r="R64" s="94">
        <f>COUNTIF('261014'!$C$18:$C$47,$C64)+COUNTIF('261014'!$I$18:$I$47,$C64)</f>
        <v>0</v>
      </c>
      <c r="S64" s="94">
        <f>COUNTIF('261015'!$C$18:$C$47,$C64)+COUNTIF('261015'!$I$18:$I$47,$C64)</f>
        <v>0</v>
      </c>
      <c r="T64" s="94">
        <f>COUNTIF('261016'!$C$18:$C$47,$C64)+COUNTIF('261016'!$I$18:$I$47,$C64)</f>
        <v>0</v>
      </c>
      <c r="U64" s="94">
        <f>COUNTIF('261017'!$C$18:$C$47,$C64)+COUNTIF('261017'!$I$18:$I$47,$C64)</f>
        <v>0</v>
      </c>
      <c r="V64" s="94">
        <f>COUNTIF('261018'!$C$18:$C$47,$C64)+COUNTIF('261018'!$I$18:$I$47,$C64)</f>
        <v>0</v>
      </c>
      <c r="W64" s="94">
        <f>COUNTIF('261019'!$C$18:$C$47,$C64)+COUNTIF('261019'!$I$18:$I$47,$C64)</f>
        <v>0</v>
      </c>
      <c r="X64" s="94">
        <f>COUNTIF('261020'!$C$18:$C$47,$C64)+COUNTIF('261020'!$I$18:$I$47,$C64)</f>
        <v>0</v>
      </c>
      <c r="Y64" s="94">
        <f>COUNTIF('261021'!$C$18:$C$47,$C64)+COUNTIF('261021'!$I$18:$I$47,$C64)</f>
        <v>0</v>
      </c>
      <c r="Z64" s="94">
        <f>COUNTIF('261022'!$C$18:$C$47,$C64)+COUNTIF('261022'!$I$18:$I$47,$C64)</f>
        <v>0</v>
      </c>
      <c r="AA64" s="94">
        <f>COUNTIF('261023'!$C$18:$C$47,$C64)+COUNTIF('261023'!$I$18:$I$47,$C64)</f>
        <v>0</v>
      </c>
      <c r="AB64" s="94">
        <f>COUNTIF('261024'!$C$18:$C$47,$C64)+COUNTIF('261024'!$I$18:$I$47,$C64)</f>
        <v>0</v>
      </c>
      <c r="AC64" s="94">
        <f>COUNTIF('261025'!$C$18:$C$47,$C64)+COUNTIF('261025'!$I$18:$I$47,$C64)</f>
        <v>0</v>
      </c>
      <c r="AD64" s="94">
        <f>COUNTIF('261026'!$C$18:$C$47,$C64)+COUNTIF('261026'!$I$18:$I$47,$C64)</f>
        <v>0</v>
      </c>
      <c r="AE64" s="94">
        <f>COUNTIF('261027'!$C$18:$C$47,$C64)+COUNTIF('261027'!$I$18:$I$47,$C64)</f>
        <v>0</v>
      </c>
      <c r="AF64" s="94">
        <f>COUNTIF('261028'!$C$18:$C$47,$C64)+COUNTIF('261028'!$I$18:$I$47,$C64)</f>
        <v>0</v>
      </c>
      <c r="AG64" s="94">
        <f>COUNTIF('261029'!$C$18:$C$47,$C64)+COUNTIF('261029'!$I$18:$I$47,$C64)</f>
        <v>0</v>
      </c>
      <c r="AH64" s="94">
        <f>COUNTIF('261030'!$C$18:$C$47,$C64)+COUNTIF('261030'!$I$18:$I$47,$C64)</f>
        <v>0</v>
      </c>
      <c r="AI64" s="94">
        <f>COUNTIF('261031'!$C$18:$C$47,$C64)+COUNTIF('261031'!$I$18:$I$47,$C64)</f>
        <v>0</v>
      </c>
      <c r="AJ64" s="108">
        <f t="shared" si="3"/>
        <v>0</v>
      </c>
      <c r="AL64" s="16"/>
      <c r="AM64" s="16"/>
    </row>
    <row r="65" spans="2:39" ht="20.100000000000001" customHeight="1" x14ac:dyDescent="0.3">
      <c r="B65" s="36">
        <f t="shared" si="2"/>
        <v>61</v>
      </c>
      <c r="C65" s="62"/>
      <c r="D65" s="56"/>
      <c r="E65" s="94">
        <f>COUNTIF('261001'!$C$18:$C$47,$C65)+COUNTIF('261001'!$I$18:$I$47,$C65)</f>
        <v>0</v>
      </c>
      <c r="F65" s="94">
        <f>COUNTIF('261002'!$C$18:$C$47,$C65)+COUNTIF('261002'!$I$18:$I$47,$C65)</f>
        <v>0</v>
      </c>
      <c r="G65" s="94">
        <f>COUNTIF('261003'!$C$18:$C$47,$C65)+COUNTIF('261003'!$I$18:$I$47,$C65)</f>
        <v>0</v>
      </c>
      <c r="H65" s="94">
        <f>COUNTIF('261004'!$C$18:$C$47,$C65)+COUNTIF('261004'!$I$18:$I$47,$C65)</f>
        <v>0</v>
      </c>
      <c r="I65" s="94">
        <f>COUNTIF('261005'!$C$18:$C$47,$C65)+COUNTIF('261005'!$I$18:$I$47,$C65)</f>
        <v>0</v>
      </c>
      <c r="J65" s="94">
        <f>COUNTIF('261006'!$C$18:$C$47,$C65)+COUNTIF('261006'!$I$18:$I$47,$C65)</f>
        <v>0</v>
      </c>
      <c r="K65" s="94">
        <f>COUNTIF('261007'!$C$18:$C$47,$C65)+COUNTIF('261007'!$I$18:$I$47,$C65)</f>
        <v>0</v>
      </c>
      <c r="L65" s="94">
        <f>COUNTIF('261008'!$C$18:$C$47,$C65)+COUNTIF('261008'!$I$18:$I$47,$C65)</f>
        <v>0</v>
      </c>
      <c r="M65" s="94">
        <f>COUNTIF('261009'!$C$18:$C$47,$C65)+COUNTIF('261009'!$I$18:$I$47,$C65)</f>
        <v>0</v>
      </c>
      <c r="N65" s="94">
        <f>COUNTIF('261010'!$C$18:$C$47,$C65)+COUNTIF('261010'!$I$18:$I$47,$C65)</f>
        <v>0</v>
      </c>
      <c r="O65" s="94">
        <f>COUNTIF('261011'!$C$18:$C$47,$C65)+COUNTIF('261011'!$I$18:$I$47,$C65)</f>
        <v>0</v>
      </c>
      <c r="P65" s="94">
        <f>COUNTIF('261012'!$C$18:$C$47,$C65)+COUNTIF('261012'!$I$18:$I$47,$C65)</f>
        <v>0</v>
      </c>
      <c r="Q65" s="94">
        <f>COUNTIF('261013'!$C$18:$C$47,$C65)+COUNTIF('261013'!$I$18:$I$47,$C65)</f>
        <v>0</v>
      </c>
      <c r="R65" s="94">
        <f>COUNTIF('261014'!$C$18:$C$47,$C65)+COUNTIF('261014'!$I$18:$I$47,$C65)</f>
        <v>0</v>
      </c>
      <c r="S65" s="94">
        <f>COUNTIF('261015'!$C$18:$C$47,$C65)+COUNTIF('261015'!$I$18:$I$47,$C65)</f>
        <v>0</v>
      </c>
      <c r="T65" s="94">
        <f>COUNTIF('261016'!$C$18:$C$47,$C65)+COUNTIF('261016'!$I$18:$I$47,$C65)</f>
        <v>0</v>
      </c>
      <c r="U65" s="94">
        <f>COUNTIF('261017'!$C$18:$C$47,$C65)+COUNTIF('261017'!$I$18:$I$47,$C65)</f>
        <v>0</v>
      </c>
      <c r="V65" s="94">
        <f>COUNTIF('261018'!$C$18:$C$47,$C65)+COUNTIF('261018'!$I$18:$I$47,$C65)</f>
        <v>0</v>
      </c>
      <c r="W65" s="94">
        <f>COUNTIF('261019'!$C$18:$C$47,$C65)+COUNTIF('261019'!$I$18:$I$47,$C65)</f>
        <v>0</v>
      </c>
      <c r="X65" s="94">
        <f>COUNTIF('261020'!$C$18:$C$47,$C65)+COUNTIF('261020'!$I$18:$I$47,$C65)</f>
        <v>0</v>
      </c>
      <c r="Y65" s="94">
        <f>COUNTIF('261021'!$C$18:$C$47,$C65)+COUNTIF('261021'!$I$18:$I$47,$C65)</f>
        <v>0</v>
      </c>
      <c r="Z65" s="94">
        <f>COUNTIF('261022'!$C$18:$C$47,$C65)+COUNTIF('261022'!$I$18:$I$47,$C65)</f>
        <v>0</v>
      </c>
      <c r="AA65" s="94">
        <f>COUNTIF('261023'!$C$18:$C$47,$C65)+COUNTIF('261023'!$I$18:$I$47,$C65)</f>
        <v>0</v>
      </c>
      <c r="AB65" s="94">
        <f>COUNTIF('261024'!$C$18:$C$47,$C65)+COUNTIF('261024'!$I$18:$I$47,$C65)</f>
        <v>0</v>
      </c>
      <c r="AC65" s="94">
        <f>COUNTIF('261025'!$C$18:$C$47,$C65)+COUNTIF('261025'!$I$18:$I$47,$C65)</f>
        <v>0</v>
      </c>
      <c r="AD65" s="94">
        <f>COUNTIF('261026'!$C$18:$C$47,$C65)+COUNTIF('261026'!$I$18:$I$47,$C65)</f>
        <v>0</v>
      </c>
      <c r="AE65" s="94">
        <f>COUNTIF('261027'!$C$18:$C$47,$C65)+COUNTIF('261027'!$I$18:$I$47,$C65)</f>
        <v>0</v>
      </c>
      <c r="AF65" s="94">
        <f>COUNTIF('261028'!$C$18:$C$47,$C65)+COUNTIF('261028'!$I$18:$I$47,$C65)</f>
        <v>0</v>
      </c>
      <c r="AG65" s="94">
        <f>COUNTIF('261029'!$C$18:$C$47,$C65)+COUNTIF('261029'!$I$18:$I$47,$C65)</f>
        <v>0</v>
      </c>
      <c r="AH65" s="94">
        <f>COUNTIF('261030'!$C$18:$C$47,$C65)+COUNTIF('261030'!$I$18:$I$47,$C65)</f>
        <v>0</v>
      </c>
      <c r="AI65" s="94">
        <f>COUNTIF('261031'!$C$18:$C$47,$C65)+COUNTIF('261031'!$I$18:$I$47,$C65)</f>
        <v>0</v>
      </c>
      <c r="AJ65" s="108">
        <f t="shared" si="3"/>
        <v>0</v>
      </c>
      <c r="AL65" s="16"/>
      <c r="AM65" s="16"/>
    </row>
    <row r="66" spans="2:39" ht="20.100000000000001" customHeight="1" x14ac:dyDescent="0.3">
      <c r="B66" s="36">
        <f t="shared" si="2"/>
        <v>62</v>
      </c>
      <c r="C66" s="62"/>
      <c r="D66" s="56"/>
      <c r="E66" s="94">
        <f>COUNTIF('261001'!$C$18:$C$47,$C66)+COUNTIF('261001'!$I$18:$I$47,$C66)</f>
        <v>0</v>
      </c>
      <c r="F66" s="94">
        <f>COUNTIF('261002'!$C$18:$C$47,$C66)+COUNTIF('261002'!$I$18:$I$47,$C66)</f>
        <v>0</v>
      </c>
      <c r="G66" s="94">
        <f>COUNTIF('261003'!$C$18:$C$47,$C66)+COUNTIF('261003'!$I$18:$I$47,$C66)</f>
        <v>0</v>
      </c>
      <c r="H66" s="94">
        <f>COUNTIF('261004'!$C$18:$C$47,$C66)+COUNTIF('261004'!$I$18:$I$47,$C66)</f>
        <v>0</v>
      </c>
      <c r="I66" s="94">
        <f>COUNTIF('261005'!$C$18:$C$47,$C66)+COUNTIF('261005'!$I$18:$I$47,$C66)</f>
        <v>0</v>
      </c>
      <c r="J66" s="94">
        <f>COUNTIF('261006'!$C$18:$C$47,$C66)+COUNTIF('261006'!$I$18:$I$47,$C66)</f>
        <v>0</v>
      </c>
      <c r="K66" s="94">
        <f>COUNTIF('261007'!$C$18:$C$47,$C66)+COUNTIF('261007'!$I$18:$I$47,$C66)</f>
        <v>0</v>
      </c>
      <c r="L66" s="94">
        <f>COUNTIF('261008'!$C$18:$C$47,$C66)+COUNTIF('261008'!$I$18:$I$47,$C66)</f>
        <v>0</v>
      </c>
      <c r="M66" s="94">
        <f>COUNTIF('261009'!$C$18:$C$47,$C66)+COUNTIF('261009'!$I$18:$I$47,$C66)</f>
        <v>0</v>
      </c>
      <c r="N66" s="94">
        <f>COUNTIF('261010'!$C$18:$C$47,$C66)+COUNTIF('261010'!$I$18:$I$47,$C66)</f>
        <v>0</v>
      </c>
      <c r="O66" s="94">
        <f>COUNTIF('261011'!$C$18:$C$47,$C66)+COUNTIF('261011'!$I$18:$I$47,$C66)</f>
        <v>0</v>
      </c>
      <c r="P66" s="94">
        <f>COUNTIF('261012'!$C$18:$C$47,$C66)+COUNTIF('261012'!$I$18:$I$47,$C66)</f>
        <v>0</v>
      </c>
      <c r="Q66" s="94">
        <f>COUNTIF('261013'!$C$18:$C$47,$C66)+COUNTIF('261013'!$I$18:$I$47,$C66)</f>
        <v>0</v>
      </c>
      <c r="R66" s="94">
        <f>COUNTIF('261014'!$C$18:$C$47,$C66)+COUNTIF('261014'!$I$18:$I$47,$C66)</f>
        <v>0</v>
      </c>
      <c r="S66" s="94">
        <f>COUNTIF('261015'!$C$18:$C$47,$C66)+COUNTIF('261015'!$I$18:$I$47,$C66)</f>
        <v>0</v>
      </c>
      <c r="T66" s="94">
        <f>COUNTIF('261016'!$C$18:$C$47,$C66)+COUNTIF('261016'!$I$18:$I$47,$C66)</f>
        <v>0</v>
      </c>
      <c r="U66" s="94">
        <f>COUNTIF('261017'!$C$18:$C$47,$C66)+COUNTIF('261017'!$I$18:$I$47,$C66)</f>
        <v>0</v>
      </c>
      <c r="V66" s="94">
        <f>COUNTIF('261018'!$C$18:$C$47,$C66)+COUNTIF('261018'!$I$18:$I$47,$C66)</f>
        <v>0</v>
      </c>
      <c r="W66" s="94">
        <f>COUNTIF('261019'!$C$18:$C$47,$C66)+COUNTIF('261019'!$I$18:$I$47,$C66)</f>
        <v>0</v>
      </c>
      <c r="X66" s="94">
        <f>COUNTIF('261020'!$C$18:$C$47,$C66)+COUNTIF('261020'!$I$18:$I$47,$C66)</f>
        <v>0</v>
      </c>
      <c r="Y66" s="94">
        <f>COUNTIF('261021'!$C$18:$C$47,$C66)+COUNTIF('261021'!$I$18:$I$47,$C66)</f>
        <v>0</v>
      </c>
      <c r="Z66" s="94">
        <f>COUNTIF('261022'!$C$18:$C$47,$C66)+COUNTIF('261022'!$I$18:$I$47,$C66)</f>
        <v>0</v>
      </c>
      <c r="AA66" s="94">
        <f>COUNTIF('261023'!$C$18:$C$47,$C66)+COUNTIF('261023'!$I$18:$I$47,$C66)</f>
        <v>0</v>
      </c>
      <c r="AB66" s="94">
        <f>COUNTIF('261024'!$C$18:$C$47,$C66)+COUNTIF('261024'!$I$18:$I$47,$C66)</f>
        <v>0</v>
      </c>
      <c r="AC66" s="94">
        <f>COUNTIF('261025'!$C$18:$C$47,$C66)+COUNTIF('261025'!$I$18:$I$47,$C66)</f>
        <v>0</v>
      </c>
      <c r="AD66" s="94">
        <f>COUNTIF('261026'!$C$18:$C$47,$C66)+COUNTIF('261026'!$I$18:$I$47,$C66)</f>
        <v>0</v>
      </c>
      <c r="AE66" s="94">
        <f>COUNTIF('261027'!$C$18:$C$47,$C66)+COUNTIF('261027'!$I$18:$I$47,$C66)</f>
        <v>0</v>
      </c>
      <c r="AF66" s="94">
        <f>COUNTIF('261028'!$C$18:$C$47,$C66)+COUNTIF('261028'!$I$18:$I$47,$C66)</f>
        <v>0</v>
      </c>
      <c r="AG66" s="94">
        <f>COUNTIF('261029'!$C$18:$C$47,$C66)+COUNTIF('261029'!$I$18:$I$47,$C66)</f>
        <v>0</v>
      </c>
      <c r="AH66" s="94">
        <f>COUNTIF('261030'!$C$18:$C$47,$C66)+COUNTIF('261030'!$I$18:$I$47,$C66)</f>
        <v>0</v>
      </c>
      <c r="AI66" s="94">
        <f>COUNTIF('261031'!$C$18:$C$47,$C66)+COUNTIF('261031'!$I$18:$I$47,$C66)</f>
        <v>0</v>
      </c>
      <c r="AJ66" s="108">
        <f t="shared" si="3"/>
        <v>0</v>
      </c>
      <c r="AL66" s="16"/>
      <c r="AM66" s="16"/>
    </row>
    <row r="67" spans="2:39" ht="20.100000000000001" customHeight="1" x14ac:dyDescent="0.3">
      <c r="B67" s="36">
        <f t="shared" si="2"/>
        <v>63</v>
      </c>
      <c r="C67" s="62"/>
      <c r="D67" s="56"/>
      <c r="E67" s="94">
        <f>COUNTIF('261001'!$C$18:$C$47,$C67)+COUNTIF('261001'!$I$18:$I$47,$C67)</f>
        <v>0</v>
      </c>
      <c r="F67" s="94">
        <f>COUNTIF('261002'!$C$18:$C$47,$C67)+COUNTIF('261002'!$I$18:$I$47,$C67)</f>
        <v>0</v>
      </c>
      <c r="G67" s="94">
        <f>COUNTIF('261003'!$C$18:$C$47,$C67)+COUNTIF('261003'!$I$18:$I$47,$C67)</f>
        <v>0</v>
      </c>
      <c r="H67" s="94">
        <f>COUNTIF('261004'!$C$18:$C$47,$C67)+COUNTIF('261004'!$I$18:$I$47,$C67)</f>
        <v>0</v>
      </c>
      <c r="I67" s="94">
        <f>COUNTIF('261005'!$C$18:$C$47,$C67)+COUNTIF('261005'!$I$18:$I$47,$C67)</f>
        <v>0</v>
      </c>
      <c r="J67" s="94">
        <f>COUNTIF('261006'!$C$18:$C$47,$C67)+COUNTIF('261006'!$I$18:$I$47,$C67)</f>
        <v>0</v>
      </c>
      <c r="K67" s="94">
        <f>COUNTIF('261007'!$C$18:$C$47,$C67)+COUNTIF('261007'!$I$18:$I$47,$C67)</f>
        <v>0</v>
      </c>
      <c r="L67" s="94">
        <f>COUNTIF('261008'!$C$18:$C$47,$C67)+COUNTIF('261008'!$I$18:$I$47,$C67)</f>
        <v>0</v>
      </c>
      <c r="M67" s="94">
        <f>COUNTIF('261009'!$C$18:$C$47,$C67)+COUNTIF('261009'!$I$18:$I$47,$C67)</f>
        <v>0</v>
      </c>
      <c r="N67" s="94">
        <f>COUNTIF('261010'!$C$18:$C$47,$C67)+COUNTIF('261010'!$I$18:$I$47,$C67)</f>
        <v>0</v>
      </c>
      <c r="O67" s="94">
        <f>COUNTIF('261011'!$C$18:$C$47,$C67)+COUNTIF('261011'!$I$18:$I$47,$C67)</f>
        <v>0</v>
      </c>
      <c r="P67" s="94">
        <f>COUNTIF('261012'!$C$18:$C$47,$C67)+COUNTIF('261012'!$I$18:$I$47,$C67)</f>
        <v>0</v>
      </c>
      <c r="Q67" s="94">
        <f>COUNTIF('261013'!$C$18:$C$47,$C67)+COUNTIF('261013'!$I$18:$I$47,$C67)</f>
        <v>0</v>
      </c>
      <c r="R67" s="94">
        <f>COUNTIF('261014'!$C$18:$C$47,$C67)+COUNTIF('261014'!$I$18:$I$47,$C67)</f>
        <v>0</v>
      </c>
      <c r="S67" s="94">
        <f>COUNTIF('261015'!$C$18:$C$47,$C67)+COUNTIF('261015'!$I$18:$I$47,$C67)</f>
        <v>0</v>
      </c>
      <c r="T67" s="94">
        <f>COUNTIF('261016'!$C$18:$C$47,$C67)+COUNTIF('261016'!$I$18:$I$47,$C67)</f>
        <v>0</v>
      </c>
      <c r="U67" s="94">
        <f>COUNTIF('261017'!$C$18:$C$47,$C67)+COUNTIF('261017'!$I$18:$I$47,$C67)</f>
        <v>0</v>
      </c>
      <c r="V67" s="94">
        <f>COUNTIF('261018'!$C$18:$C$47,$C67)+COUNTIF('261018'!$I$18:$I$47,$C67)</f>
        <v>0</v>
      </c>
      <c r="W67" s="94">
        <f>COUNTIF('261019'!$C$18:$C$47,$C67)+COUNTIF('261019'!$I$18:$I$47,$C67)</f>
        <v>0</v>
      </c>
      <c r="X67" s="94">
        <f>COUNTIF('261020'!$C$18:$C$47,$C67)+COUNTIF('261020'!$I$18:$I$47,$C67)</f>
        <v>0</v>
      </c>
      <c r="Y67" s="94">
        <f>COUNTIF('261021'!$C$18:$C$47,$C67)+COUNTIF('261021'!$I$18:$I$47,$C67)</f>
        <v>0</v>
      </c>
      <c r="Z67" s="94">
        <f>COUNTIF('261022'!$C$18:$C$47,$C67)+COUNTIF('261022'!$I$18:$I$47,$C67)</f>
        <v>0</v>
      </c>
      <c r="AA67" s="94">
        <f>COUNTIF('261023'!$C$18:$C$47,$C67)+COUNTIF('261023'!$I$18:$I$47,$C67)</f>
        <v>0</v>
      </c>
      <c r="AB67" s="94">
        <f>COUNTIF('261024'!$C$18:$C$47,$C67)+COUNTIF('261024'!$I$18:$I$47,$C67)</f>
        <v>0</v>
      </c>
      <c r="AC67" s="94">
        <f>COUNTIF('261025'!$C$18:$C$47,$C67)+COUNTIF('261025'!$I$18:$I$47,$C67)</f>
        <v>0</v>
      </c>
      <c r="AD67" s="94">
        <f>COUNTIF('261026'!$C$18:$C$47,$C67)+COUNTIF('261026'!$I$18:$I$47,$C67)</f>
        <v>0</v>
      </c>
      <c r="AE67" s="94">
        <f>COUNTIF('261027'!$C$18:$C$47,$C67)+COUNTIF('261027'!$I$18:$I$47,$C67)</f>
        <v>0</v>
      </c>
      <c r="AF67" s="94">
        <f>COUNTIF('261028'!$C$18:$C$47,$C67)+COUNTIF('261028'!$I$18:$I$47,$C67)</f>
        <v>0</v>
      </c>
      <c r="AG67" s="94">
        <f>COUNTIF('261029'!$C$18:$C$47,$C67)+COUNTIF('261029'!$I$18:$I$47,$C67)</f>
        <v>0</v>
      </c>
      <c r="AH67" s="94">
        <f>COUNTIF('261030'!$C$18:$C$47,$C67)+COUNTIF('261030'!$I$18:$I$47,$C67)</f>
        <v>0</v>
      </c>
      <c r="AI67" s="94">
        <f>COUNTIF('261031'!$C$18:$C$47,$C67)+COUNTIF('261031'!$I$18:$I$47,$C67)</f>
        <v>0</v>
      </c>
      <c r="AJ67" s="108">
        <f t="shared" si="3"/>
        <v>0</v>
      </c>
      <c r="AL67" s="16"/>
      <c r="AM67" s="16"/>
    </row>
    <row r="68" spans="2:39" ht="20.100000000000001" customHeight="1" x14ac:dyDescent="0.3">
      <c r="B68" s="36">
        <f t="shared" si="2"/>
        <v>64</v>
      </c>
      <c r="C68" s="62"/>
      <c r="D68" s="56"/>
      <c r="E68" s="94">
        <f>COUNTIF('261001'!$C$18:$C$47,$C68)+COUNTIF('261001'!$I$18:$I$47,$C68)</f>
        <v>0</v>
      </c>
      <c r="F68" s="94">
        <f>COUNTIF('261002'!$C$18:$C$47,$C68)+COUNTIF('261002'!$I$18:$I$47,$C68)</f>
        <v>0</v>
      </c>
      <c r="G68" s="94">
        <f>COUNTIF('261003'!$C$18:$C$47,$C68)+COUNTIF('261003'!$I$18:$I$47,$C68)</f>
        <v>0</v>
      </c>
      <c r="H68" s="94">
        <f>COUNTIF('261004'!$C$18:$C$47,$C68)+COUNTIF('261004'!$I$18:$I$47,$C68)</f>
        <v>0</v>
      </c>
      <c r="I68" s="94">
        <f>COUNTIF('261005'!$C$18:$C$47,$C68)+COUNTIF('261005'!$I$18:$I$47,$C68)</f>
        <v>0</v>
      </c>
      <c r="J68" s="94">
        <f>COUNTIF('261006'!$C$18:$C$47,$C68)+COUNTIF('261006'!$I$18:$I$47,$C68)</f>
        <v>0</v>
      </c>
      <c r="K68" s="94">
        <f>COUNTIF('261007'!$C$18:$C$47,$C68)+COUNTIF('261007'!$I$18:$I$47,$C68)</f>
        <v>0</v>
      </c>
      <c r="L68" s="94">
        <f>COUNTIF('261008'!$C$18:$C$47,$C68)+COUNTIF('261008'!$I$18:$I$47,$C68)</f>
        <v>0</v>
      </c>
      <c r="M68" s="94">
        <f>COUNTIF('261009'!$C$18:$C$47,$C68)+COUNTIF('261009'!$I$18:$I$47,$C68)</f>
        <v>0</v>
      </c>
      <c r="N68" s="94">
        <f>COUNTIF('261010'!$C$18:$C$47,$C68)+COUNTIF('261010'!$I$18:$I$47,$C68)</f>
        <v>0</v>
      </c>
      <c r="O68" s="94">
        <f>COUNTIF('261011'!$C$18:$C$47,$C68)+COUNTIF('261011'!$I$18:$I$47,$C68)</f>
        <v>0</v>
      </c>
      <c r="P68" s="94">
        <f>COUNTIF('261012'!$C$18:$C$47,$C68)+COUNTIF('261012'!$I$18:$I$47,$C68)</f>
        <v>0</v>
      </c>
      <c r="Q68" s="94">
        <f>COUNTIF('261013'!$C$18:$C$47,$C68)+COUNTIF('261013'!$I$18:$I$47,$C68)</f>
        <v>0</v>
      </c>
      <c r="R68" s="94">
        <f>COUNTIF('261014'!$C$18:$C$47,$C68)+COUNTIF('261014'!$I$18:$I$47,$C68)</f>
        <v>0</v>
      </c>
      <c r="S68" s="94">
        <f>COUNTIF('261015'!$C$18:$C$47,$C68)+COUNTIF('261015'!$I$18:$I$47,$C68)</f>
        <v>0</v>
      </c>
      <c r="T68" s="94">
        <f>COUNTIF('261016'!$C$18:$C$47,$C68)+COUNTIF('261016'!$I$18:$I$47,$C68)</f>
        <v>0</v>
      </c>
      <c r="U68" s="94">
        <f>COUNTIF('261017'!$C$18:$C$47,$C68)+COUNTIF('261017'!$I$18:$I$47,$C68)</f>
        <v>0</v>
      </c>
      <c r="V68" s="94">
        <f>COUNTIF('261018'!$C$18:$C$47,$C68)+COUNTIF('261018'!$I$18:$I$47,$C68)</f>
        <v>0</v>
      </c>
      <c r="W68" s="94">
        <f>COUNTIF('261019'!$C$18:$C$47,$C68)+COUNTIF('261019'!$I$18:$I$47,$C68)</f>
        <v>0</v>
      </c>
      <c r="X68" s="94">
        <f>COUNTIF('261020'!$C$18:$C$47,$C68)+COUNTIF('261020'!$I$18:$I$47,$C68)</f>
        <v>0</v>
      </c>
      <c r="Y68" s="94">
        <f>COUNTIF('261021'!$C$18:$C$47,$C68)+COUNTIF('261021'!$I$18:$I$47,$C68)</f>
        <v>0</v>
      </c>
      <c r="Z68" s="94">
        <f>COUNTIF('261022'!$C$18:$C$47,$C68)+COUNTIF('261022'!$I$18:$I$47,$C68)</f>
        <v>0</v>
      </c>
      <c r="AA68" s="94">
        <f>COUNTIF('261023'!$C$18:$C$47,$C68)+COUNTIF('261023'!$I$18:$I$47,$C68)</f>
        <v>0</v>
      </c>
      <c r="AB68" s="94">
        <f>COUNTIF('261024'!$C$18:$C$47,$C68)+COUNTIF('261024'!$I$18:$I$47,$C68)</f>
        <v>0</v>
      </c>
      <c r="AC68" s="94">
        <f>COUNTIF('261025'!$C$18:$C$47,$C68)+COUNTIF('261025'!$I$18:$I$47,$C68)</f>
        <v>0</v>
      </c>
      <c r="AD68" s="94">
        <f>COUNTIF('261026'!$C$18:$C$47,$C68)+COUNTIF('261026'!$I$18:$I$47,$C68)</f>
        <v>0</v>
      </c>
      <c r="AE68" s="94">
        <f>COUNTIF('261027'!$C$18:$C$47,$C68)+COUNTIF('261027'!$I$18:$I$47,$C68)</f>
        <v>0</v>
      </c>
      <c r="AF68" s="94">
        <f>COUNTIF('261028'!$C$18:$C$47,$C68)+COUNTIF('261028'!$I$18:$I$47,$C68)</f>
        <v>0</v>
      </c>
      <c r="AG68" s="94">
        <f>COUNTIF('261029'!$C$18:$C$47,$C68)+COUNTIF('261029'!$I$18:$I$47,$C68)</f>
        <v>0</v>
      </c>
      <c r="AH68" s="94">
        <f>COUNTIF('261030'!$C$18:$C$47,$C68)+COUNTIF('261030'!$I$18:$I$47,$C68)</f>
        <v>0</v>
      </c>
      <c r="AI68" s="94">
        <f>COUNTIF('261031'!$C$18:$C$47,$C68)+COUNTIF('261031'!$I$18:$I$47,$C68)</f>
        <v>0</v>
      </c>
      <c r="AJ68" s="108">
        <f t="shared" si="3"/>
        <v>0</v>
      </c>
      <c r="AL68" s="16"/>
      <c r="AM68" s="16"/>
    </row>
    <row r="69" spans="2:39" ht="20.100000000000001" customHeight="1" x14ac:dyDescent="0.3">
      <c r="B69" s="36">
        <f t="shared" si="2"/>
        <v>65</v>
      </c>
      <c r="C69" s="62"/>
      <c r="D69" s="56"/>
      <c r="E69" s="94">
        <f>COUNTIF('261001'!$C$18:$C$47,$C69)+COUNTIF('261001'!$I$18:$I$47,$C69)</f>
        <v>0</v>
      </c>
      <c r="F69" s="94">
        <f>COUNTIF('261002'!$C$18:$C$47,$C69)+COUNTIF('261002'!$I$18:$I$47,$C69)</f>
        <v>0</v>
      </c>
      <c r="G69" s="94">
        <f>COUNTIF('261003'!$C$18:$C$47,$C69)+COUNTIF('261003'!$I$18:$I$47,$C69)</f>
        <v>0</v>
      </c>
      <c r="H69" s="94">
        <f>COUNTIF('261004'!$C$18:$C$47,$C69)+COUNTIF('261004'!$I$18:$I$47,$C69)</f>
        <v>0</v>
      </c>
      <c r="I69" s="94">
        <f>COUNTIF('261005'!$C$18:$C$47,$C69)+COUNTIF('261005'!$I$18:$I$47,$C69)</f>
        <v>0</v>
      </c>
      <c r="J69" s="94">
        <f>COUNTIF('261006'!$C$18:$C$47,$C69)+COUNTIF('261006'!$I$18:$I$47,$C69)</f>
        <v>0</v>
      </c>
      <c r="K69" s="94">
        <f>COUNTIF('261007'!$C$18:$C$47,$C69)+COUNTIF('261007'!$I$18:$I$47,$C69)</f>
        <v>0</v>
      </c>
      <c r="L69" s="94">
        <f>COUNTIF('261008'!$C$18:$C$47,$C69)+COUNTIF('261008'!$I$18:$I$47,$C69)</f>
        <v>0</v>
      </c>
      <c r="M69" s="94">
        <f>COUNTIF('261009'!$C$18:$C$47,$C69)+COUNTIF('261009'!$I$18:$I$47,$C69)</f>
        <v>0</v>
      </c>
      <c r="N69" s="94">
        <f>COUNTIF('261010'!$C$18:$C$47,$C69)+COUNTIF('261010'!$I$18:$I$47,$C69)</f>
        <v>0</v>
      </c>
      <c r="O69" s="94">
        <f>COUNTIF('261011'!$C$18:$C$47,$C69)+COUNTIF('261011'!$I$18:$I$47,$C69)</f>
        <v>0</v>
      </c>
      <c r="P69" s="94">
        <f>COUNTIF('261012'!$C$18:$C$47,$C69)+COUNTIF('261012'!$I$18:$I$47,$C69)</f>
        <v>0</v>
      </c>
      <c r="Q69" s="94">
        <f>COUNTIF('261013'!$C$18:$C$47,$C69)+COUNTIF('261013'!$I$18:$I$47,$C69)</f>
        <v>0</v>
      </c>
      <c r="R69" s="94">
        <f>COUNTIF('261014'!$C$18:$C$47,$C69)+COUNTIF('261014'!$I$18:$I$47,$C69)</f>
        <v>0</v>
      </c>
      <c r="S69" s="94">
        <f>COUNTIF('261015'!$C$18:$C$47,$C69)+COUNTIF('261015'!$I$18:$I$47,$C69)</f>
        <v>0</v>
      </c>
      <c r="T69" s="94">
        <f>COUNTIF('261016'!$C$18:$C$47,$C69)+COUNTIF('261016'!$I$18:$I$47,$C69)</f>
        <v>0</v>
      </c>
      <c r="U69" s="94">
        <f>COUNTIF('261017'!$C$18:$C$47,$C69)+COUNTIF('261017'!$I$18:$I$47,$C69)</f>
        <v>0</v>
      </c>
      <c r="V69" s="94">
        <f>COUNTIF('261018'!$C$18:$C$47,$C69)+COUNTIF('261018'!$I$18:$I$47,$C69)</f>
        <v>0</v>
      </c>
      <c r="W69" s="94">
        <f>COUNTIF('261019'!$C$18:$C$47,$C69)+COUNTIF('261019'!$I$18:$I$47,$C69)</f>
        <v>0</v>
      </c>
      <c r="X69" s="94">
        <f>COUNTIF('261020'!$C$18:$C$47,$C69)+COUNTIF('261020'!$I$18:$I$47,$C69)</f>
        <v>0</v>
      </c>
      <c r="Y69" s="94">
        <f>COUNTIF('261021'!$C$18:$C$47,$C69)+COUNTIF('261021'!$I$18:$I$47,$C69)</f>
        <v>0</v>
      </c>
      <c r="Z69" s="94">
        <f>COUNTIF('261022'!$C$18:$C$47,$C69)+COUNTIF('261022'!$I$18:$I$47,$C69)</f>
        <v>0</v>
      </c>
      <c r="AA69" s="94">
        <f>COUNTIF('261023'!$C$18:$C$47,$C69)+COUNTIF('261023'!$I$18:$I$47,$C69)</f>
        <v>0</v>
      </c>
      <c r="AB69" s="94">
        <f>COUNTIF('261024'!$C$18:$C$47,$C69)+COUNTIF('261024'!$I$18:$I$47,$C69)</f>
        <v>0</v>
      </c>
      <c r="AC69" s="94">
        <f>COUNTIF('261025'!$C$18:$C$47,$C69)+COUNTIF('261025'!$I$18:$I$47,$C69)</f>
        <v>0</v>
      </c>
      <c r="AD69" s="94">
        <f>COUNTIF('261026'!$C$18:$C$47,$C69)+COUNTIF('261026'!$I$18:$I$47,$C69)</f>
        <v>0</v>
      </c>
      <c r="AE69" s="94">
        <f>COUNTIF('261027'!$C$18:$C$47,$C69)+COUNTIF('261027'!$I$18:$I$47,$C69)</f>
        <v>0</v>
      </c>
      <c r="AF69" s="94">
        <f>COUNTIF('261028'!$C$18:$C$47,$C69)+COUNTIF('261028'!$I$18:$I$47,$C69)</f>
        <v>0</v>
      </c>
      <c r="AG69" s="94">
        <f>COUNTIF('261029'!$C$18:$C$47,$C69)+COUNTIF('261029'!$I$18:$I$47,$C69)</f>
        <v>0</v>
      </c>
      <c r="AH69" s="94">
        <f>COUNTIF('261030'!$C$18:$C$47,$C69)+COUNTIF('261030'!$I$18:$I$47,$C69)</f>
        <v>0</v>
      </c>
      <c r="AI69" s="94">
        <f>COUNTIF('261031'!$C$18:$C$47,$C69)+COUNTIF('261031'!$I$18:$I$47,$C69)</f>
        <v>0</v>
      </c>
      <c r="AJ69" s="108">
        <f t="shared" ref="AJ69:AJ88" si="4">SUM(E69:AI69)</f>
        <v>0</v>
      </c>
      <c r="AL69" s="16"/>
      <c r="AM69" s="16"/>
    </row>
    <row r="70" spans="2:39" ht="20.100000000000001" customHeight="1" x14ac:dyDescent="0.3">
      <c r="B70" s="36">
        <f t="shared" si="2"/>
        <v>66</v>
      </c>
      <c r="C70" s="62"/>
      <c r="D70" s="56"/>
      <c r="E70" s="94">
        <f>COUNTIF('261001'!$C$18:$C$47,$C70)+COUNTIF('261001'!$I$18:$I$47,$C70)</f>
        <v>0</v>
      </c>
      <c r="F70" s="94">
        <f>COUNTIF('261002'!$C$18:$C$47,$C70)+COUNTIF('261002'!$I$18:$I$47,$C70)</f>
        <v>0</v>
      </c>
      <c r="G70" s="94">
        <f>COUNTIF('261003'!$C$18:$C$47,$C70)+COUNTIF('261003'!$I$18:$I$47,$C70)</f>
        <v>0</v>
      </c>
      <c r="H70" s="94">
        <f>COUNTIF('261004'!$C$18:$C$47,$C70)+COUNTIF('261004'!$I$18:$I$47,$C70)</f>
        <v>0</v>
      </c>
      <c r="I70" s="94">
        <f>COUNTIF('261005'!$C$18:$C$47,$C70)+COUNTIF('261005'!$I$18:$I$47,$C70)</f>
        <v>0</v>
      </c>
      <c r="J70" s="94">
        <f>COUNTIF('261006'!$C$18:$C$47,$C70)+COUNTIF('261006'!$I$18:$I$47,$C70)</f>
        <v>0</v>
      </c>
      <c r="K70" s="94">
        <f>COUNTIF('261007'!$C$18:$C$47,$C70)+COUNTIF('261007'!$I$18:$I$47,$C70)</f>
        <v>0</v>
      </c>
      <c r="L70" s="94">
        <f>COUNTIF('261008'!$C$18:$C$47,$C70)+COUNTIF('261008'!$I$18:$I$47,$C70)</f>
        <v>0</v>
      </c>
      <c r="M70" s="94">
        <f>COUNTIF('261009'!$C$18:$C$47,$C70)+COUNTIF('261009'!$I$18:$I$47,$C70)</f>
        <v>0</v>
      </c>
      <c r="N70" s="94">
        <f>COUNTIF('261010'!$C$18:$C$47,$C70)+COUNTIF('261010'!$I$18:$I$47,$C70)</f>
        <v>0</v>
      </c>
      <c r="O70" s="94">
        <f>COUNTIF('261011'!$C$18:$C$47,$C70)+COUNTIF('261011'!$I$18:$I$47,$C70)</f>
        <v>0</v>
      </c>
      <c r="P70" s="94">
        <f>COUNTIF('261012'!$C$18:$C$47,$C70)+COUNTIF('261012'!$I$18:$I$47,$C70)</f>
        <v>0</v>
      </c>
      <c r="Q70" s="94">
        <f>COUNTIF('261013'!$C$18:$C$47,$C70)+COUNTIF('261013'!$I$18:$I$47,$C70)</f>
        <v>0</v>
      </c>
      <c r="R70" s="94">
        <f>COUNTIF('261014'!$C$18:$C$47,$C70)+COUNTIF('261014'!$I$18:$I$47,$C70)</f>
        <v>0</v>
      </c>
      <c r="S70" s="94">
        <f>COUNTIF('261015'!$C$18:$C$47,$C70)+COUNTIF('261015'!$I$18:$I$47,$C70)</f>
        <v>0</v>
      </c>
      <c r="T70" s="94">
        <f>COUNTIF('261016'!$C$18:$C$47,$C70)+COUNTIF('261016'!$I$18:$I$47,$C70)</f>
        <v>0</v>
      </c>
      <c r="U70" s="94">
        <f>COUNTIF('261017'!$C$18:$C$47,$C70)+COUNTIF('261017'!$I$18:$I$47,$C70)</f>
        <v>0</v>
      </c>
      <c r="V70" s="94">
        <f>COUNTIF('261018'!$C$18:$C$47,$C70)+COUNTIF('261018'!$I$18:$I$47,$C70)</f>
        <v>0</v>
      </c>
      <c r="W70" s="94">
        <f>COUNTIF('261019'!$C$18:$C$47,$C70)+COUNTIF('261019'!$I$18:$I$47,$C70)</f>
        <v>0</v>
      </c>
      <c r="X70" s="94">
        <f>COUNTIF('261020'!$C$18:$C$47,$C70)+COUNTIF('261020'!$I$18:$I$47,$C70)</f>
        <v>0</v>
      </c>
      <c r="Y70" s="94">
        <f>COUNTIF('261021'!$C$18:$C$47,$C70)+COUNTIF('261021'!$I$18:$I$47,$C70)</f>
        <v>0</v>
      </c>
      <c r="Z70" s="94">
        <f>COUNTIF('261022'!$C$18:$C$47,$C70)+COUNTIF('261022'!$I$18:$I$47,$C70)</f>
        <v>0</v>
      </c>
      <c r="AA70" s="94">
        <f>COUNTIF('261023'!$C$18:$C$47,$C70)+COUNTIF('261023'!$I$18:$I$47,$C70)</f>
        <v>0</v>
      </c>
      <c r="AB70" s="94">
        <f>COUNTIF('261024'!$C$18:$C$47,$C70)+COUNTIF('261024'!$I$18:$I$47,$C70)</f>
        <v>0</v>
      </c>
      <c r="AC70" s="94">
        <f>COUNTIF('261025'!$C$18:$C$47,$C70)+COUNTIF('261025'!$I$18:$I$47,$C70)</f>
        <v>0</v>
      </c>
      <c r="AD70" s="94">
        <f>COUNTIF('261026'!$C$18:$C$47,$C70)+COUNTIF('261026'!$I$18:$I$47,$C70)</f>
        <v>0</v>
      </c>
      <c r="AE70" s="94">
        <f>COUNTIF('261027'!$C$18:$C$47,$C70)+COUNTIF('261027'!$I$18:$I$47,$C70)</f>
        <v>0</v>
      </c>
      <c r="AF70" s="94">
        <f>COUNTIF('261028'!$C$18:$C$47,$C70)+COUNTIF('261028'!$I$18:$I$47,$C70)</f>
        <v>0</v>
      </c>
      <c r="AG70" s="94">
        <f>COUNTIF('261029'!$C$18:$C$47,$C70)+COUNTIF('261029'!$I$18:$I$47,$C70)</f>
        <v>0</v>
      </c>
      <c r="AH70" s="94">
        <f>COUNTIF('261030'!$C$18:$C$47,$C70)+COUNTIF('261030'!$I$18:$I$47,$C70)</f>
        <v>0</v>
      </c>
      <c r="AI70" s="94">
        <f>COUNTIF('261031'!$C$18:$C$47,$C70)+COUNTIF('261031'!$I$18:$I$47,$C70)</f>
        <v>0</v>
      </c>
      <c r="AJ70" s="108">
        <f t="shared" si="4"/>
        <v>0</v>
      </c>
      <c r="AL70" s="16"/>
      <c r="AM70" s="16"/>
    </row>
    <row r="71" spans="2:39" ht="20.100000000000001" customHeight="1" x14ac:dyDescent="0.3">
      <c r="B71" s="36">
        <f t="shared" si="2"/>
        <v>67</v>
      </c>
      <c r="C71" s="62"/>
      <c r="D71" s="62"/>
      <c r="E71" s="94">
        <f>COUNTIF('261001'!$C$18:$C$47,$C71)+COUNTIF('261001'!$I$18:$I$47,$C71)</f>
        <v>0</v>
      </c>
      <c r="F71" s="94">
        <f>COUNTIF('261002'!$C$18:$C$47,$C71)+COUNTIF('261002'!$I$18:$I$47,$C71)</f>
        <v>0</v>
      </c>
      <c r="G71" s="94">
        <f>COUNTIF('261003'!$C$18:$C$47,$C71)+COUNTIF('261003'!$I$18:$I$47,$C71)</f>
        <v>0</v>
      </c>
      <c r="H71" s="94">
        <f>COUNTIF('261004'!$C$18:$C$47,$C71)+COUNTIF('261004'!$I$18:$I$47,$C71)</f>
        <v>0</v>
      </c>
      <c r="I71" s="94">
        <f>COUNTIF('261005'!$C$18:$C$47,$C71)+COUNTIF('261005'!$I$18:$I$47,$C71)</f>
        <v>0</v>
      </c>
      <c r="J71" s="94">
        <f>COUNTIF('261006'!$C$18:$C$47,$C71)+COUNTIF('261006'!$I$18:$I$47,$C71)</f>
        <v>0</v>
      </c>
      <c r="K71" s="94">
        <f>COUNTIF('261007'!$C$18:$C$47,$C71)+COUNTIF('261007'!$I$18:$I$47,$C71)</f>
        <v>0</v>
      </c>
      <c r="L71" s="94">
        <f>COUNTIF('261008'!$C$18:$C$47,$C71)+COUNTIF('261008'!$I$18:$I$47,$C71)</f>
        <v>0</v>
      </c>
      <c r="M71" s="94">
        <f>COUNTIF('261009'!$C$18:$C$47,$C71)+COUNTIF('261009'!$I$18:$I$47,$C71)</f>
        <v>0</v>
      </c>
      <c r="N71" s="94">
        <f>COUNTIF('261010'!$C$18:$C$47,$C71)+COUNTIF('261010'!$I$18:$I$47,$C71)</f>
        <v>0</v>
      </c>
      <c r="O71" s="94">
        <f>COUNTIF('261011'!$C$18:$C$47,$C71)+COUNTIF('261011'!$I$18:$I$47,$C71)</f>
        <v>0</v>
      </c>
      <c r="P71" s="94">
        <f>COUNTIF('261012'!$C$18:$C$47,$C71)+COUNTIF('261012'!$I$18:$I$47,$C71)</f>
        <v>0</v>
      </c>
      <c r="Q71" s="94">
        <f>COUNTIF('261013'!$C$18:$C$47,$C71)+COUNTIF('261013'!$I$18:$I$47,$C71)</f>
        <v>0</v>
      </c>
      <c r="R71" s="94">
        <f>COUNTIF('261014'!$C$18:$C$47,$C71)+COUNTIF('261014'!$I$18:$I$47,$C71)</f>
        <v>0</v>
      </c>
      <c r="S71" s="94">
        <f>COUNTIF('261015'!$C$18:$C$47,$C71)+COUNTIF('261015'!$I$18:$I$47,$C71)</f>
        <v>0</v>
      </c>
      <c r="T71" s="94">
        <f>COUNTIF('261016'!$C$18:$C$47,$C71)+COUNTIF('261016'!$I$18:$I$47,$C71)</f>
        <v>0</v>
      </c>
      <c r="U71" s="94">
        <f>COUNTIF('261017'!$C$18:$C$47,$C71)+COUNTIF('261017'!$I$18:$I$47,$C71)</f>
        <v>0</v>
      </c>
      <c r="V71" s="94">
        <f>COUNTIF('261018'!$C$18:$C$47,$C71)+COUNTIF('261018'!$I$18:$I$47,$C71)</f>
        <v>0</v>
      </c>
      <c r="W71" s="94">
        <f>COUNTIF('261019'!$C$18:$C$47,$C71)+COUNTIF('261019'!$I$18:$I$47,$C71)</f>
        <v>0</v>
      </c>
      <c r="X71" s="94">
        <f>COUNTIF('261020'!$C$18:$C$47,$C71)+COUNTIF('261020'!$I$18:$I$47,$C71)</f>
        <v>0</v>
      </c>
      <c r="Y71" s="94">
        <f>COUNTIF('261021'!$C$18:$C$47,$C71)+COUNTIF('261021'!$I$18:$I$47,$C71)</f>
        <v>0</v>
      </c>
      <c r="Z71" s="94">
        <f>COUNTIF('261022'!$C$18:$C$47,$C71)+COUNTIF('261022'!$I$18:$I$47,$C71)</f>
        <v>0</v>
      </c>
      <c r="AA71" s="94">
        <f>COUNTIF('261023'!$C$18:$C$47,$C71)+COUNTIF('261023'!$I$18:$I$47,$C71)</f>
        <v>0</v>
      </c>
      <c r="AB71" s="94">
        <f>COUNTIF('261024'!$C$18:$C$47,$C71)+COUNTIF('261024'!$I$18:$I$47,$C71)</f>
        <v>0</v>
      </c>
      <c r="AC71" s="94">
        <f>COUNTIF('261025'!$C$18:$C$47,$C71)+COUNTIF('261025'!$I$18:$I$47,$C71)</f>
        <v>0</v>
      </c>
      <c r="AD71" s="94">
        <f>COUNTIF('261026'!$C$18:$C$47,$C71)+COUNTIF('261026'!$I$18:$I$47,$C71)</f>
        <v>0</v>
      </c>
      <c r="AE71" s="94">
        <f>COUNTIF('261027'!$C$18:$C$47,$C71)+COUNTIF('261027'!$I$18:$I$47,$C71)</f>
        <v>0</v>
      </c>
      <c r="AF71" s="94">
        <f>COUNTIF('261028'!$C$18:$C$47,$C71)+COUNTIF('261028'!$I$18:$I$47,$C71)</f>
        <v>0</v>
      </c>
      <c r="AG71" s="94">
        <f>COUNTIF('261029'!$C$18:$C$47,$C71)+COUNTIF('261029'!$I$18:$I$47,$C71)</f>
        <v>0</v>
      </c>
      <c r="AH71" s="94">
        <f>COUNTIF('261030'!$C$18:$C$47,$C71)+COUNTIF('261030'!$I$18:$I$47,$C71)</f>
        <v>0</v>
      </c>
      <c r="AI71" s="94">
        <f>COUNTIF('261031'!$C$18:$C$47,$C71)+COUNTIF('261031'!$I$18:$I$47,$C71)</f>
        <v>0</v>
      </c>
      <c r="AJ71" s="108">
        <f t="shared" si="4"/>
        <v>0</v>
      </c>
      <c r="AL71" s="16"/>
      <c r="AM71" s="16"/>
    </row>
    <row r="72" spans="2:39" ht="20.100000000000001" customHeight="1" x14ac:dyDescent="0.3">
      <c r="B72" s="36">
        <f t="shared" si="2"/>
        <v>68</v>
      </c>
      <c r="C72" s="62"/>
      <c r="D72" s="62"/>
      <c r="E72" s="94">
        <f>COUNTIF('261001'!$C$18:$C$47,$C72)+COUNTIF('261001'!$I$18:$I$47,$C72)</f>
        <v>0</v>
      </c>
      <c r="F72" s="94">
        <f>COUNTIF('261002'!$C$18:$C$47,$C72)+COUNTIF('261002'!$I$18:$I$47,$C72)</f>
        <v>0</v>
      </c>
      <c r="G72" s="94">
        <f>COUNTIF('261003'!$C$18:$C$47,$C72)+COUNTIF('261003'!$I$18:$I$47,$C72)</f>
        <v>0</v>
      </c>
      <c r="H72" s="94">
        <f>COUNTIF('261004'!$C$18:$C$47,$C72)+COUNTIF('261004'!$I$18:$I$47,$C72)</f>
        <v>0</v>
      </c>
      <c r="I72" s="94">
        <f>COUNTIF('261005'!$C$18:$C$47,$C72)+COUNTIF('261005'!$I$18:$I$47,$C72)</f>
        <v>0</v>
      </c>
      <c r="J72" s="94">
        <f>COUNTIF('261006'!$C$18:$C$47,$C72)+COUNTIF('261006'!$I$18:$I$47,$C72)</f>
        <v>0</v>
      </c>
      <c r="K72" s="94">
        <f>COUNTIF('261007'!$C$18:$C$47,$C72)+COUNTIF('261007'!$I$18:$I$47,$C72)</f>
        <v>0</v>
      </c>
      <c r="L72" s="94">
        <f>COUNTIF('261008'!$C$18:$C$47,$C72)+COUNTIF('261008'!$I$18:$I$47,$C72)</f>
        <v>0</v>
      </c>
      <c r="M72" s="94">
        <f>COUNTIF('261009'!$C$18:$C$47,$C72)+COUNTIF('261009'!$I$18:$I$47,$C72)</f>
        <v>0</v>
      </c>
      <c r="N72" s="94">
        <f>COUNTIF('261010'!$C$18:$C$47,$C72)+COUNTIF('261010'!$I$18:$I$47,$C72)</f>
        <v>0</v>
      </c>
      <c r="O72" s="94">
        <f>COUNTIF('261011'!$C$18:$C$47,$C72)+COUNTIF('261011'!$I$18:$I$47,$C72)</f>
        <v>0</v>
      </c>
      <c r="P72" s="94">
        <f>COUNTIF('261012'!$C$18:$C$47,$C72)+COUNTIF('261012'!$I$18:$I$47,$C72)</f>
        <v>0</v>
      </c>
      <c r="Q72" s="94">
        <f>COUNTIF('261013'!$C$18:$C$47,$C72)+COUNTIF('261013'!$I$18:$I$47,$C72)</f>
        <v>0</v>
      </c>
      <c r="R72" s="94">
        <f>COUNTIF('261014'!$C$18:$C$47,$C72)+COUNTIF('261014'!$I$18:$I$47,$C72)</f>
        <v>0</v>
      </c>
      <c r="S72" s="94">
        <f>COUNTIF('261015'!$C$18:$C$47,$C72)+COUNTIF('261015'!$I$18:$I$47,$C72)</f>
        <v>0</v>
      </c>
      <c r="T72" s="94">
        <f>COUNTIF('261016'!$C$18:$C$47,$C72)+COUNTIF('261016'!$I$18:$I$47,$C72)</f>
        <v>0</v>
      </c>
      <c r="U72" s="94">
        <f>COUNTIF('261017'!$C$18:$C$47,$C72)+COUNTIF('261017'!$I$18:$I$47,$C72)</f>
        <v>0</v>
      </c>
      <c r="V72" s="94">
        <f>COUNTIF('261018'!$C$18:$C$47,$C72)+COUNTIF('261018'!$I$18:$I$47,$C72)</f>
        <v>0</v>
      </c>
      <c r="W72" s="94">
        <f>COUNTIF('261019'!$C$18:$C$47,$C72)+COUNTIF('261019'!$I$18:$I$47,$C72)</f>
        <v>0</v>
      </c>
      <c r="X72" s="94">
        <f>COUNTIF('261020'!$C$18:$C$47,$C72)+COUNTIF('261020'!$I$18:$I$47,$C72)</f>
        <v>0</v>
      </c>
      <c r="Y72" s="94">
        <f>COUNTIF('261021'!$C$18:$C$47,$C72)+COUNTIF('261021'!$I$18:$I$47,$C72)</f>
        <v>0</v>
      </c>
      <c r="Z72" s="94">
        <f>COUNTIF('261022'!$C$18:$C$47,$C72)+COUNTIF('261022'!$I$18:$I$47,$C72)</f>
        <v>0</v>
      </c>
      <c r="AA72" s="94">
        <f>COUNTIF('261023'!$C$18:$C$47,$C72)+COUNTIF('261023'!$I$18:$I$47,$C72)</f>
        <v>0</v>
      </c>
      <c r="AB72" s="94">
        <f>COUNTIF('261024'!$C$18:$C$47,$C72)+COUNTIF('261024'!$I$18:$I$47,$C72)</f>
        <v>0</v>
      </c>
      <c r="AC72" s="94">
        <f>COUNTIF('261025'!$C$18:$C$47,$C72)+COUNTIF('261025'!$I$18:$I$47,$C72)</f>
        <v>0</v>
      </c>
      <c r="AD72" s="94">
        <f>COUNTIF('261026'!$C$18:$C$47,$C72)+COUNTIF('261026'!$I$18:$I$47,$C72)</f>
        <v>0</v>
      </c>
      <c r="AE72" s="94">
        <f>COUNTIF('261027'!$C$18:$C$47,$C72)+COUNTIF('261027'!$I$18:$I$47,$C72)</f>
        <v>0</v>
      </c>
      <c r="AF72" s="94">
        <f>COUNTIF('261028'!$C$18:$C$47,$C72)+COUNTIF('261028'!$I$18:$I$47,$C72)</f>
        <v>0</v>
      </c>
      <c r="AG72" s="94">
        <f>COUNTIF('261029'!$C$18:$C$47,$C72)+COUNTIF('261029'!$I$18:$I$47,$C72)</f>
        <v>0</v>
      </c>
      <c r="AH72" s="94">
        <f>COUNTIF('261030'!$C$18:$C$47,$C72)+COUNTIF('261030'!$I$18:$I$47,$C72)</f>
        <v>0</v>
      </c>
      <c r="AI72" s="94">
        <f>COUNTIF('261031'!$C$18:$C$47,$C72)+COUNTIF('261031'!$I$18:$I$47,$C72)</f>
        <v>0</v>
      </c>
      <c r="AJ72" s="108">
        <f t="shared" si="4"/>
        <v>0</v>
      </c>
      <c r="AL72" s="16"/>
      <c r="AM72" s="16"/>
    </row>
    <row r="73" spans="2:39" ht="20.100000000000001" customHeight="1" x14ac:dyDescent="0.3">
      <c r="B73" s="36">
        <f t="shared" si="2"/>
        <v>69</v>
      </c>
      <c r="C73" s="62"/>
      <c r="D73" s="62"/>
      <c r="E73" s="17">
        <f>COUNTIF('261001'!$C$18:$C$47,$C73)+COUNTIF('261001'!$I$18:$I$47,$C73)</f>
        <v>0</v>
      </c>
      <c r="F73" s="17">
        <f>COUNTIF('261002'!$C$18:$C$47,$C73)+COUNTIF('261002'!$I$18:$I$47,$C73)</f>
        <v>0</v>
      </c>
      <c r="G73" s="17">
        <f>COUNTIF('261003'!$C$18:$C$47,$C73)+COUNTIF('261003'!$I$18:$I$47,$C73)</f>
        <v>0</v>
      </c>
      <c r="H73" s="17">
        <f>COUNTIF('261004'!$C$18:$C$47,$C73)+COUNTIF('261004'!$I$18:$I$47,$C73)</f>
        <v>0</v>
      </c>
      <c r="I73" s="17">
        <f>COUNTIF('261005'!$C$18:$C$47,$C73)+COUNTIF('261005'!$I$18:$I$47,$C73)</f>
        <v>0</v>
      </c>
      <c r="J73" s="17">
        <f>COUNTIF('261006'!$C$18:$C$47,$C73)+COUNTIF('261006'!$I$18:$I$47,$C73)</f>
        <v>0</v>
      </c>
      <c r="K73" s="17">
        <f>COUNTIF('261007'!$C$18:$C$47,$C73)+COUNTIF('261007'!$I$18:$I$47,$C73)</f>
        <v>0</v>
      </c>
      <c r="L73" s="17">
        <f>COUNTIF('261008'!$C$18:$C$47,$C73)+COUNTIF('261008'!$I$18:$I$47,$C73)</f>
        <v>0</v>
      </c>
      <c r="M73" s="17">
        <f>COUNTIF('261009'!$C$18:$C$47,$C73)+COUNTIF('261009'!$I$18:$I$47,$C73)</f>
        <v>0</v>
      </c>
      <c r="N73" s="17">
        <f>COUNTIF('261010'!$C$18:$C$47,$C73)+COUNTIF('261010'!$I$18:$I$47,$C73)</f>
        <v>0</v>
      </c>
      <c r="O73" s="17">
        <f>COUNTIF('261011'!$C$18:$C$47,$C73)+COUNTIF('261011'!$I$18:$I$47,$C73)</f>
        <v>0</v>
      </c>
      <c r="P73" s="17">
        <f>COUNTIF('261012'!$C$18:$C$47,$C73)+COUNTIF('261012'!$I$18:$I$47,$C73)</f>
        <v>0</v>
      </c>
      <c r="Q73" s="17">
        <f>COUNTIF('261013'!$C$18:$C$47,$C73)+COUNTIF('261013'!$I$18:$I$47,$C73)</f>
        <v>0</v>
      </c>
      <c r="R73" s="17">
        <f>COUNTIF('261014'!$C$18:$C$47,$C73)+COUNTIF('261014'!$I$18:$I$47,$C73)</f>
        <v>0</v>
      </c>
      <c r="S73" s="17">
        <f>COUNTIF('261015'!$C$18:$C$47,$C73)+COUNTIF('261015'!$I$18:$I$47,$C73)</f>
        <v>0</v>
      </c>
      <c r="T73" s="17">
        <f>COUNTIF('261016'!$C$18:$C$47,$C73)+COUNTIF('261016'!$I$18:$I$47,$C73)</f>
        <v>0</v>
      </c>
      <c r="U73" s="17">
        <f>COUNTIF('261017'!$C$18:$C$47,$C73)+COUNTIF('261017'!$I$18:$I$47,$C73)</f>
        <v>0</v>
      </c>
      <c r="V73" s="17">
        <f>COUNTIF('261018'!$C$18:$C$47,$C73)+COUNTIF('261018'!$I$18:$I$47,$C73)</f>
        <v>0</v>
      </c>
      <c r="W73" s="17">
        <f>COUNTIF('261019'!$C$18:$C$47,$C73)+COUNTIF('261019'!$I$18:$I$47,$C73)</f>
        <v>0</v>
      </c>
      <c r="X73" s="17">
        <f>COUNTIF('261020'!$C$18:$C$47,$C73)+COUNTIF('261020'!$I$18:$I$47,$C73)</f>
        <v>0</v>
      </c>
      <c r="Y73" s="17">
        <f>COUNTIF('261021'!$C$18:$C$47,$C73)+COUNTIF('261021'!$I$18:$I$47,$C73)</f>
        <v>0</v>
      </c>
      <c r="Z73" s="17">
        <f>COUNTIF('261022'!$C$18:$C$47,$C73)+COUNTIF('261022'!$I$18:$I$47,$C73)</f>
        <v>0</v>
      </c>
      <c r="AA73" s="17">
        <f>COUNTIF('261023'!$C$18:$C$47,$C73)+COUNTIF('261023'!$I$18:$I$47,$C73)</f>
        <v>0</v>
      </c>
      <c r="AB73" s="17">
        <f>COUNTIF('261024'!$C$18:$C$47,$C73)+COUNTIF('261024'!$I$18:$I$47,$C73)</f>
        <v>0</v>
      </c>
      <c r="AC73" s="17">
        <f>COUNTIF('261025'!$C$18:$C$47,$C73)+COUNTIF('261025'!$I$18:$I$47,$C73)</f>
        <v>0</v>
      </c>
      <c r="AD73" s="17">
        <f>COUNTIF('261026'!$C$18:$C$47,$C73)+COUNTIF('261026'!$I$18:$I$47,$C73)</f>
        <v>0</v>
      </c>
      <c r="AE73" s="17">
        <f>COUNTIF('261027'!$C$18:$C$47,$C73)+COUNTIF('261027'!$I$18:$I$47,$C73)</f>
        <v>0</v>
      </c>
      <c r="AF73" s="17">
        <f>COUNTIF('261028'!$C$18:$C$47,$C73)+COUNTIF('261028'!$I$18:$I$47,$C73)</f>
        <v>0</v>
      </c>
      <c r="AG73" s="17">
        <f>COUNTIF('261029'!$C$18:$C$47,$C73)+COUNTIF('261029'!$I$18:$I$47,$C73)</f>
        <v>0</v>
      </c>
      <c r="AH73" s="17">
        <f>COUNTIF('261030'!$C$18:$C$47,$C73)+COUNTIF('261030'!$I$18:$I$47,$C73)</f>
        <v>0</v>
      </c>
      <c r="AI73" s="17">
        <f>COUNTIF('261031'!$C$18:$C$47,$C73)+COUNTIF('261031'!$I$18:$I$47,$C73)</f>
        <v>0</v>
      </c>
      <c r="AJ73" s="108">
        <f t="shared" si="4"/>
        <v>0</v>
      </c>
      <c r="AL73" s="16"/>
      <c r="AM73" s="16"/>
    </row>
    <row r="74" spans="2:39" ht="20.100000000000001" customHeight="1" x14ac:dyDescent="0.3">
      <c r="B74" s="36">
        <f t="shared" si="2"/>
        <v>70</v>
      </c>
      <c r="C74" s="62"/>
      <c r="D74" s="62"/>
      <c r="E74" s="17">
        <f>COUNTIF('261001'!$C$18:$C$47,$C74)+COUNTIF('261001'!$I$18:$I$47,$C74)</f>
        <v>0</v>
      </c>
      <c r="F74" s="17">
        <f>COUNTIF('261002'!$C$18:$C$47,$C74)+COUNTIF('261002'!$I$18:$I$47,$C74)</f>
        <v>0</v>
      </c>
      <c r="G74" s="17">
        <f>COUNTIF('261003'!$C$18:$C$47,$C74)+COUNTIF('261003'!$I$18:$I$47,$C74)</f>
        <v>0</v>
      </c>
      <c r="H74" s="17">
        <f>COUNTIF('261004'!$C$18:$C$47,$C74)+COUNTIF('261004'!$I$18:$I$47,$C74)</f>
        <v>0</v>
      </c>
      <c r="I74" s="17">
        <f>COUNTIF('261005'!$C$18:$C$47,$C74)+COUNTIF('261005'!$I$18:$I$47,$C74)</f>
        <v>0</v>
      </c>
      <c r="J74" s="17">
        <f>COUNTIF('261006'!$C$18:$C$47,$C74)+COUNTIF('261006'!$I$18:$I$47,$C74)</f>
        <v>0</v>
      </c>
      <c r="K74" s="17">
        <f>COUNTIF('261007'!$C$18:$C$47,$C74)+COUNTIF('261007'!$I$18:$I$47,$C74)</f>
        <v>0</v>
      </c>
      <c r="L74" s="17">
        <f>COUNTIF('261008'!$C$18:$C$47,$C74)+COUNTIF('261008'!$I$18:$I$47,$C74)</f>
        <v>0</v>
      </c>
      <c r="M74" s="17">
        <f>COUNTIF('261009'!$C$18:$C$47,$C74)+COUNTIF('261009'!$I$18:$I$47,$C74)</f>
        <v>0</v>
      </c>
      <c r="N74" s="17">
        <f>COUNTIF('261010'!$C$18:$C$47,$C74)+COUNTIF('261010'!$I$18:$I$47,$C74)</f>
        <v>0</v>
      </c>
      <c r="O74" s="17">
        <f>COUNTIF('261011'!$C$18:$C$47,$C74)+COUNTIF('261011'!$I$18:$I$47,$C74)</f>
        <v>0</v>
      </c>
      <c r="P74" s="17">
        <f>COUNTIF('261012'!$C$18:$C$47,$C74)+COUNTIF('261012'!$I$18:$I$47,$C74)</f>
        <v>0</v>
      </c>
      <c r="Q74" s="17">
        <f>COUNTIF('261013'!$C$18:$C$47,$C74)+COUNTIF('261013'!$I$18:$I$47,$C74)</f>
        <v>0</v>
      </c>
      <c r="R74" s="17">
        <f>COUNTIF('261014'!$C$18:$C$47,$C74)+COUNTIF('261014'!$I$18:$I$47,$C74)</f>
        <v>0</v>
      </c>
      <c r="S74" s="17">
        <f>COUNTIF('261015'!$C$18:$C$47,$C74)+COUNTIF('261015'!$I$18:$I$47,$C74)</f>
        <v>0</v>
      </c>
      <c r="T74" s="17">
        <f>COUNTIF('261016'!$C$18:$C$47,$C74)+COUNTIF('261016'!$I$18:$I$47,$C74)</f>
        <v>0</v>
      </c>
      <c r="U74" s="17">
        <f>COUNTIF('261017'!$C$18:$C$47,$C74)+COUNTIF('261017'!$I$18:$I$47,$C74)</f>
        <v>0</v>
      </c>
      <c r="V74" s="17">
        <f>COUNTIF('261018'!$C$18:$C$47,$C74)+COUNTIF('261018'!$I$18:$I$47,$C74)</f>
        <v>0</v>
      </c>
      <c r="W74" s="17">
        <f>COUNTIF('261019'!$C$18:$C$47,$C74)+COUNTIF('261019'!$I$18:$I$47,$C74)</f>
        <v>0</v>
      </c>
      <c r="X74" s="17">
        <f>COUNTIF('261020'!$C$18:$C$47,$C74)+COUNTIF('261020'!$I$18:$I$47,$C74)</f>
        <v>0</v>
      </c>
      <c r="Y74" s="17">
        <f>COUNTIF('261021'!$C$18:$C$47,$C74)+COUNTIF('261021'!$I$18:$I$47,$C74)</f>
        <v>0</v>
      </c>
      <c r="Z74" s="17">
        <f>COUNTIF('261022'!$C$18:$C$47,$C74)+COUNTIF('261022'!$I$18:$I$47,$C74)</f>
        <v>0</v>
      </c>
      <c r="AA74" s="17">
        <f>COUNTIF('261023'!$C$18:$C$47,$C74)+COUNTIF('261023'!$I$18:$I$47,$C74)</f>
        <v>0</v>
      </c>
      <c r="AB74" s="17">
        <f>COUNTIF('261024'!$C$18:$C$47,$C74)+COUNTIF('261024'!$I$18:$I$47,$C74)</f>
        <v>0</v>
      </c>
      <c r="AC74" s="17">
        <f>COUNTIF('261025'!$C$18:$C$47,$C74)+COUNTIF('261025'!$I$18:$I$47,$C74)</f>
        <v>0</v>
      </c>
      <c r="AD74" s="17">
        <f>COUNTIF('261026'!$C$18:$C$47,$C74)+COUNTIF('261026'!$I$18:$I$47,$C74)</f>
        <v>0</v>
      </c>
      <c r="AE74" s="17">
        <f>COUNTIF('261027'!$C$18:$C$47,$C74)+COUNTIF('261027'!$I$18:$I$47,$C74)</f>
        <v>0</v>
      </c>
      <c r="AF74" s="17">
        <f>COUNTIF('261028'!$C$18:$C$47,$C74)+COUNTIF('261028'!$I$18:$I$47,$C74)</f>
        <v>0</v>
      </c>
      <c r="AG74" s="17">
        <f>COUNTIF('261029'!$C$18:$C$47,$C74)+COUNTIF('261029'!$I$18:$I$47,$C74)</f>
        <v>0</v>
      </c>
      <c r="AH74" s="17">
        <f>COUNTIF('261030'!$C$18:$C$47,$C74)+COUNTIF('261030'!$I$18:$I$47,$C74)</f>
        <v>0</v>
      </c>
      <c r="AI74" s="17">
        <f>COUNTIF('261031'!$C$18:$C$47,$C74)+COUNTIF('261031'!$I$18:$I$47,$C74)</f>
        <v>0</v>
      </c>
      <c r="AJ74" s="108">
        <f t="shared" si="4"/>
        <v>0</v>
      </c>
      <c r="AL74" s="16"/>
      <c r="AM74" s="16"/>
    </row>
    <row r="75" spans="2:39" ht="20.100000000000001" customHeight="1" x14ac:dyDescent="0.3">
      <c r="B75" s="36">
        <f t="shared" si="2"/>
        <v>71</v>
      </c>
      <c r="C75" s="62"/>
      <c r="D75" s="62"/>
      <c r="E75" s="17">
        <f>COUNTIF('261001'!$C$18:$C$47,$C75)+COUNTIF('261001'!$I$18:$I$47,$C75)</f>
        <v>0</v>
      </c>
      <c r="F75" s="17">
        <f>COUNTIF('261002'!$C$18:$C$47,$C75)+COUNTIF('261002'!$I$18:$I$47,$C75)</f>
        <v>0</v>
      </c>
      <c r="G75" s="17">
        <f>COUNTIF('261003'!$C$18:$C$47,$C75)+COUNTIF('261003'!$I$18:$I$47,$C75)</f>
        <v>0</v>
      </c>
      <c r="H75" s="17">
        <f>COUNTIF('261004'!$C$18:$C$47,$C75)+COUNTIF('261004'!$I$18:$I$47,$C75)</f>
        <v>0</v>
      </c>
      <c r="I75" s="17">
        <f>COUNTIF('261005'!$C$18:$C$47,$C75)+COUNTIF('261005'!$I$18:$I$47,$C75)</f>
        <v>0</v>
      </c>
      <c r="J75" s="17">
        <f>COUNTIF('261006'!$C$18:$C$47,$C75)+COUNTIF('261006'!$I$18:$I$47,$C75)</f>
        <v>0</v>
      </c>
      <c r="K75" s="17">
        <f>COUNTIF('261007'!$C$18:$C$47,$C75)+COUNTIF('261007'!$I$18:$I$47,$C75)</f>
        <v>0</v>
      </c>
      <c r="L75" s="17">
        <f>COUNTIF('261008'!$C$18:$C$47,$C75)+COUNTIF('261008'!$I$18:$I$47,$C75)</f>
        <v>0</v>
      </c>
      <c r="M75" s="17">
        <f>COUNTIF('261009'!$C$18:$C$47,$C75)+COUNTIF('261009'!$I$18:$I$47,$C75)</f>
        <v>0</v>
      </c>
      <c r="N75" s="17">
        <f>COUNTIF('261010'!$C$18:$C$47,$C75)+COUNTIF('261010'!$I$18:$I$47,$C75)</f>
        <v>0</v>
      </c>
      <c r="O75" s="17">
        <f>COUNTIF('261011'!$C$18:$C$47,$C75)+COUNTIF('261011'!$I$18:$I$47,$C75)</f>
        <v>0</v>
      </c>
      <c r="P75" s="17">
        <f>COUNTIF('261012'!$C$18:$C$47,$C75)+COUNTIF('261012'!$I$18:$I$47,$C75)</f>
        <v>0</v>
      </c>
      <c r="Q75" s="17">
        <f>COUNTIF('261013'!$C$18:$C$47,$C75)+COUNTIF('261013'!$I$18:$I$47,$C75)</f>
        <v>0</v>
      </c>
      <c r="R75" s="17">
        <f>COUNTIF('261014'!$C$18:$C$47,$C75)+COUNTIF('261014'!$I$18:$I$47,$C75)</f>
        <v>0</v>
      </c>
      <c r="S75" s="17">
        <f>COUNTIF('261015'!$C$18:$C$47,$C75)+COUNTIF('261015'!$I$18:$I$47,$C75)</f>
        <v>0</v>
      </c>
      <c r="T75" s="17">
        <f>COUNTIF('261016'!$C$18:$C$47,$C75)+COUNTIF('261016'!$I$18:$I$47,$C75)</f>
        <v>0</v>
      </c>
      <c r="U75" s="17">
        <f>COUNTIF('261017'!$C$18:$C$47,$C75)+COUNTIF('261017'!$I$18:$I$47,$C75)</f>
        <v>0</v>
      </c>
      <c r="V75" s="17">
        <f>COUNTIF('261018'!$C$18:$C$47,$C75)+COUNTIF('261018'!$I$18:$I$47,$C75)</f>
        <v>0</v>
      </c>
      <c r="W75" s="17">
        <f>COUNTIF('261019'!$C$18:$C$47,$C75)+COUNTIF('261019'!$I$18:$I$47,$C75)</f>
        <v>0</v>
      </c>
      <c r="X75" s="17">
        <f>COUNTIF('261020'!$C$18:$C$47,$C75)+COUNTIF('261020'!$I$18:$I$47,$C75)</f>
        <v>0</v>
      </c>
      <c r="Y75" s="17">
        <f>COUNTIF('261021'!$C$18:$C$47,$C75)+COUNTIF('261021'!$I$18:$I$47,$C75)</f>
        <v>0</v>
      </c>
      <c r="Z75" s="17">
        <f>COUNTIF('261022'!$C$18:$C$47,$C75)+COUNTIF('261022'!$I$18:$I$47,$C75)</f>
        <v>0</v>
      </c>
      <c r="AA75" s="17">
        <f>COUNTIF('261023'!$C$18:$C$47,$C75)+COUNTIF('261023'!$I$18:$I$47,$C75)</f>
        <v>0</v>
      </c>
      <c r="AB75" s="17">
        <f>COUNTIF('261024'!$C$18:$C$47,$C75)+COUNTIF('261024'!$I$18:$I$47,$C75)</f>
        <v>0</v>
      </c>
      <c r="AC75" s="17">
        <f>COUNTIF('261025'!$C$18:$C$47,$C75)+COUNTIF('261025'!$I$18:$I$47,$C75)</f>
        <v>0</v>
      </c>
      <c r="AD75" s="17">
        <f>COUNTIF('261026'!$C$18:$C$47,$C75)+COUNTIF('261026'!$I$18:$I$47,$C75)</f>
        <v>0</v>
      </c>
      <c r="AE75" s="17">
        <f>COUNTIF('261027'!$C$18:$C$47,$C75)+COUNTIF('261027'!$I$18:$I$47,$C75)</f>
        <v>0</v>
      </c>
      <c r="AF75" s="17">
        <f>COUNTIF('261028'!$C$18:$C$47,$C75)+COUNTIF('261028'!$I$18:$I$47,$C75)</f>
        <v>0</v>
      </c>
      <c r="AG75" s="17">
        <f>COUNTIF('261029'!$C$18:$C$47,$C75)+COUNTIF('261029'!$I$18:$I$47,$C75)</f>
        <v>0</v>
      </c>
      <c r="AH75" s="17">
        <f>COUNTIF('261030'!$C$18:$C$47,$C75)+COUNTIF('261030'!$I$18:$I$47,$C75)</f>
        <v>0</v>
      </c>
      <c r="AI75" s="17">
        <f>COUNTIF('261031'!$C$18:$C$47,$C75)+COUNTIF('261031'!$I$18:$I$47,$C75)</f>
        <v>0</v>
      </c>
      <c r="AJ75" s="108">
        <f t="shared" si="4"/>
        <v>0</v>
      </c>
      <c r="AL75" s="16"/>
      <c r="AM75" s="16"/>
    </row>
    <row r="76" spans="2:39" ht="20.100000000000001" customHeight="1" x14ac:dyDescent="0.3">
      <c r="B76" s="36">
        <f t="shared" si="2"/>
        <v>72</v>
      </c>
      <c r="C76" s="62"/>
      <c r="D76" s="62"/>
      <c r="E76" s="17">
        <f>COUNTIF('261001'!$C$18:$C$47,$C76)+COUNTIF('261001'!$I$18:$I$47,$C76)</f>
        <v>0</v>
      </c>
      <c r="F76" s="17">
        <f>COUNTIF('261002'!$C$18:$C$47,$C76)+COUNTIF('261002'!$I$18:$I$47,$C76)</f>
        <v>0</v>
      </c>
      <c r="G76" s="17">
        <f>COUNTIF('261003'!$C$18:$C$47,$C76)+COUNTIF('261003'!$I$18:$I$47,$C76)</f>
        <v>0</v>
      </c>
      <c r="H76" s="17">
        <f>COUNTIF('261004'!$C$18:$C$47,$C76)+COUNTIF('261004'!$I$18:$I$47,$C76)</f>
        <v>0</v>
      </c>
      <c r="I76" s="17">
        <f>COUNTIF('261005'!$C$18:$C$47,$C76)+COUNTIF('261005'!$I$18:$I$47,$C76)</f>
        <v>0</v>
      </c>
      <c r="J76" s="17">
        <f>COUNTIF('261006'!$C$18:$C$47,$C76)+COUNTIF('261006'!$I$18:$I$47,$C76)</f>
        <v>0</v>
      </c>
      <c r="K76" s="17">
        <f>COUNTIF('261007'!$C$18:$C$47,$C76)+COUNTIF('261007'!$I$18:$I$47,$C76)</f>
        <v>0</v>
      </c>
      <c r="L76" s="17">
        <f>COUNTIF('261008'!$C$18:$C$47,$C76)+COUNTIF('261008'!$I$18:$I$47,$C76)</f>
        <v>0</v>
      </c>
      <c r="M76" s="17">
        <f>COUNTIF('261009'!$C$18:$C$47,$C76)+COUNTIF('261009'!$I$18:$I$47,$C76)</f>
        <v>0</v>
      </c>
      <c r="N76" s="17">
        <f>COUNTIF('261010'!$C$18:$C$47,$C76)+COUNTIF('261010'!$I$18:$I$47,$C76)</f>
        <v>0</v>
      </c>
      <c r="O76" s="17">
        <f>COUNTIF('261011'!$C$18:$C$47,$C76)+COUNTIF('261011'!$I$18:$I$47,$C76)</f>
        <v>0</v>
      </c>
      <c r="P76" s="17">
        <f>COUNTIF('261012'!$C$18:$C$47,$C76)+COUNTIF('261012'!$I$18:$I$47,$C76)</f>
        <v>0</v>
      </c>
      <c r="Q76" s="17">
        <f>COUNTIF('261013'!$C$18:$C$47,$C76)+COUNTIF('261013'!$I$18:$I$47,$C76)</f>
        <v>0</v>
      </c>
      <c r="R76" s="17">
        <f>COUNTIF('261014'!$C$18:$C$47,$C76)+COUNTIF('261014'!$I$18:$I$47,$C76)</f>
        <v>0</v>
      </c>
      <c r="S76" s="17">
        <f>COUNTIF('261015'!$C$18:$C$47,$C76)+COUNTIF('261015'!$I$18:$I$47,$C76)</f>
        <v>0</v>
      </c>
      <c r="T76" s="17">
        <f>COUNTIF('261016'!$C$18:$C$47,$C76)+COUNTIF('261016'!$I$18:$I$47,$C76)</f>
        <v>0</v>
      </c>
      <c r="U76" s="17">
        <f>COUNTIF('261017'!$C$18:$C$47,$C76)+COUNTIF('261017'!$I$18:$I$47,$C76)</f>
        <v>0</v>
      </c>
      <c r="V76" s="17">
        <f>COUNTIF('261018'!$C$18:$C$47,$C76)+COUNTIF('261018'!$I$18:$I$47,$C76)</f>
        <v>0</v>
      </c>
      <c r="W76" s="17">
        <f>COUNTIF('261019'!$C$18:$C$47,$C76)+COUNTIF('261019'!$I$18:$I$47,$C76)</f>
        <v>0</v>
      </c>
      <c r="X76" s="17">
        <f>COUNTIF('261020'!$C$18:$C$47,$C76)+COUNTIF('261020'!$I$18:$I$47,$C76)</f>
        <v>0</v>
      </c>
      <c r="Y76" s="17">
        <f>COUNTIF('261021'!$C$18:$C$47,$C76)+COUNTIF('261021'!$I$18:$I$47,$C76)</f>
        <v>0</v>
      </c>
      <c r="Z76" s="17">
        <f>COUNTIF('261022'!$C$18:$C$47,$C76)+COUNTIF('261022'!$I$18:$I$47,$C76)</f>
        <v>0</v>
      </c>
      <c r="AA76" s="17">
        <f>COUNTIF('261023'!$C$18:$C$47,$C76)+COUNTIF('261023'!$I$18:$I$47,$C76)</f>
        <v>0</v>
      </c>
      <c r="AB76" s="17">
        <f>COUNTIF('261024'!$C$18:$C$47,$C76)+COUNTIF('261024'!$I$18:$I$47,$C76)</f>
        <v>0</v>
      </c>
      <c r="AC76" s="17">
        <f>COUNTIF('261025'!$C$18:$C$47,$C76)+COUNTIF('261025'!$I$18:$I$47,$C76)</f>
        <v>0</v>
      </c>
      <c r="AD76" s="17">
        <f>COUNTIF('261026'!$C$18:$C$47,$C76)+COUNTIF('261026'!$I$18:$I$47,$C76)</f>
        <v>0</v>
      </c>
      <c r="AE76" s="17">
        <f>COUNTIF('261027'!$C$18:$C$47,$C76)+COUNTIF('261027'!$I$18:$I$47,$C76)</f>
        <v>0</v>
      </c>
      <c r="AF76" s="17">
        <f>COUNTIF('261028'!$C$18:$C$47,$C76)+COUNTIF('261028'!$I$18:$I$47,$C76)</f>
        <v>0</v>
      </c>
      <c r="AG76" s="17">
        <f>COUNTIF('261029'!$C$18:$C$47,$C76)+COUNTIF('261029'!$I$18:$I$47,$C76)</f>
        <v>0</v>
      </c>
      <c r="AH76" s="17">
        <f>COUNTIF('261030'!$C$18:$C$47,$C76)+COUNTIF('261030'!$I$18:$I$47,$C76)</f>
        <v>0</v>
      </c>
      <c r="AI76" s="17">
        <f>COUNTIF('261031'!$C$18:$C$47,$C76)+COUNTIF('261031'!$I$18:$I$47,$C76)</f>
        <v>0</v>
      </c>
      <c r="AJ76" s="108">
        <f t="shared" si="4"/>
        <v>0</v>
      </c>
      <c r="AL76" s="16"/>
      <c r="AM76" s="16"/>
    </row>
    <row r="77" spans="2:39" ht="20.100000000000001" customHeight="1" x14ac:dyDescent="0.3">
      <c r="B77" s="36">
        <f t="shared" si="2"/>
        <v>73</v>
      </c>
      <c r="C77" s="62"/>
      <c r="D77" s="62"/>
      <c r="E77" s="17">
        <f>COUNTIF('261001'!$C$18:$C$47,$C77)+COUNTIF('261001'!$I$18:$I$47,$C77)</f>
        <v>0</v>
      </c>
      <c r="F77" s="17">
        <f>COUNTIF('261002'!$C$18:$C$47,$C77)+COUNTIF('261002'!$I$18:$I$47,$C77)</f>
        <v>0</v>
      </c>
      <c r="G77" s="17">
        <f>COUNTIF('261003'!$C$18:$C$47,$C77)+COUNTIF('261003'!$I$18:$I$47,$C77)</f>
        <v>0</v>
      </c>
      <c r="H77" s="17">
        <f>COUNTIF('261004'!$C$18:$C$47,$C77)+COUNTIF('261004'!$I$18:$I$47,$C77)</f>
        <v>0</v>
      </c>
      <c r="I77" s="17">
        <f>COUNTIF('261005'!$C$18:$C$47,$C77)+COUNTIF('261005'!$I$18:$I$47,$C77)</f>
        <v>0</v>
      </c>
      <c r="J77" s="17">
        <f>COUNTIF('261006'!$C$18:$C$47,$C77)+COUNTIF('261006'!$I$18:$I$47,$C77)</f>
        <v>0</v>
      </c>
      <c r="K77" s="17">
        <f>COUNTIF('261007'!$C$18:$C$47,$C77)+COUNTIF('261007'!$I$18:$I$47,$C77)</f>
        <v>0</v>
      </c>
      <c r="L77" s="17">
        <f>COUNTIF('261008'!$C$18:$C$47,$C77)+COUNTIF('261008'!$I$18:$I$47,$C77)</f>
        <v>0</v>
      </c>
      <c r="M77" s="17">
        <f>COUNTIF('261009'!$C$18:$C$47,$C77)+COUNTIF('261009'!$I$18:$I$47,$C77)</f>
        <v>0</v>
      </c>
      <c r="N77" s="17">
        <f>COUNTIF('261010'!$C$18:$C$47,$C77)+COUNTIF('261010'!$I$18:$I$47,$C77)</f>
        <v>0</v>
      </c>
      <c r="O77" s="17">
        <f>COUNTIF('261011'!$C$18:$C$47,$C77)+COUNTIF('261011'!$I$18:$I$47,$C77)</f>
        <v>0</v>
      </c>
      <c r="P77" s="17">
        <f>COUNTIF('261012'!$C$18:$C$47,$C77)+COUNTIF('261012'!$I$18:$I$47,$C77)</f>
        <v>0</v>
      </c>
      <c r="Q77" s="17">
        <f>COUNTIF('261013'!$C$18:$C$47,$C77)+COUNTIF('261013'!$I$18:$I$47,$C77)</f>
        <v>0</v>
      </c>
      <c r="R77" s="17">
        <f>COUNTIF('261014'!$C$18:$C$47,$C77)+COUNTIF('261014'!$I$18:$I$47,$C77)</f>
        <v>0</v>
      </c>
      <c r="S77" s="17">
        <f>COUNTIF('261015'!$C$18:$C$47,$C77)+COUNTIF('261015'!$I$18:$I$47,$C77)</f>
        <v>0</v>
      </c>
      <c r="T77" s="17">
        <f>COUNTIF('261016'!$C$18:$C$47,$C77)+COUNTIF('261016'!$I$18:$I$47,$C77)</f>
        <v>0</v>
      </c>
      <c r="U77" s="17">
        <f>COUNTIF('261017'!$C$18:$C$47,$C77)+COUNTIF('261017'!$I$18:$I$47,$C77)</f>
        <v>0</v>
      </c>
      <c r="V77" s="17">
        <f>COUNTIF('261018'!$C$18:$C$47,$C77)+COUNTIF('261018'!$I$18:$I$47,$C77)</f>
        <v>0</v>
      </c>
      <c r="W77" s="17">
        <f>COUNTIF('261019'!$C$18:$C$47,$C77)+COUNTIF('261019'!$I$18:$I$47,$C77)</f>
        <v>0</v>
      </c>
      <c r="X77" s="17">
        <f>COUNTIF('261020'!$C$18:$C$47,$C77)+COUNTIF('261020'!$I$18:$I$47,$C77)</f>
        <v>0</v>
      </c>
      <c r="Y77" s="17">
        <f>COUNTIF('261021'!$C$18:$C$47,$C77)+COUNTIF('261021'!$I$18:$I$47,$C77)</f>
        <v>0</v>
      </c>
      <c r="Z77" s="17">
        <f>COUNTIF('261022'!$C$18:$C$47,$C77)+COUNTIF('261022'!$I$18:$I$47,$C77)</f>
        <v>0</v>
      </c>
      <c r="AA77" s="17">
        <f>COUNTIF('261023'!$C$18:$C$47,$C77)+COUNTIF('261023'!$I$18:$I$47,$C77)</f>
        <v>0</v>
      </c>
      <c r="AB77" s="17">
        <f>COUNTIF('261024'!$C$18:$C$47,$C77)+COUNTIF('261024'!$I$18:$I$47,$C77)</f>
        <v>0</v>
      </c>
      <c r="AC77" s="17">
        <f>COUNTIF('261025'!$C$18:$C$47,$C77)+COUNTIF('261025'!$I$18:$I$47,$C77)</f>
        <v>0</v>
      </c>
      <c r="AD77" s="17">
        <f>COUNTIF('261026'!$C$18:$C$47,$C77)+COUNTIF('261026'!$I$18:$I$47,$C77)</f>
        <v>0</v>
      </c>
      <c r="AE77" s="17">
        <f>COUNTIF('261027'!$C$18:$C$47,$C77)+COUNTIF('261027'!$I$18:$I$47,$C77)</f>
        <v>0</v>
      </c>
      <c r="AF77" s="17">
        <f>COUNTIF('261028'!$C$18:$C$47,$C77)+COUNTIF('261028'!$I$18:$I$47,$C77)</f>
        <v>0</v>
      </c>
      <c r="AG77" s="17">
        <f>COUNTIF('261029'!$C$18:$C$47,$C77)+COUNTIF('261029'!$I$18:$I$47,$C77)</f>
        <v>0</v>
      </c>
      <c r="AH77" s="17">
        <f>COUNTIF('261030'!$C$18:$C$47,$C77)+COUNTIF('261030'!$I$18:$I$47,$C77)</f>
        <v>0</v>
      </c>
      <c r="AI77" s="17">
        <f>COUNTIF('261031'!$C$18:$C$47,$C77)+COUNTIF('261031'!$I$18:$I$47,$C77)</f>
        <v>0</v>
      </c>
      <c r="AJ77" s="108">
        <f t="shared" si="4"/>
        <v>0</v>
      </c>
      <c r="AL77" s="16"/>
      <c r="AM77" s="16"/>
    </row>
    <row r="78" spans="2:39" ht="20.100000000000001" customHeight="1" x14ac:dyDescent="0.3">
      <c r="B78" s="36">
        <f t="shared" si="2"/>
        <v>74</v>
      </c>
      <c r="C78" s="62"/>
      <c r="D78" s="62"/>
      <c r="E78" s="17">
        <f>COUNTIF('261001'!$C$18:$C$47,$C78)+COUNTIF('261001'!$I$18:$I$47,$C78)</f>
        <v>0</v>
      </c>
      <c r="F78" s="17">
        <f>COUNTIF('261002'!$C$18:$C$47,$C78)+COUNTIF('261002'!$I$18:$I$47,$C78)</f>
        <v>0</v>
      </c>
      <c r="G78" s="17">
        <f>COUNTIF('261003'!$C$18:$C$47,$C78)+COUNTIF('261003'!$I$18:$I$47,$C78)</f>
        <v>0</v>
      </c>
      <c r="H78" s="17">
        <f>COUNTIF('261004'!$C$18:$C$47,$C78)+COUNTIF('261004'!$I$18:$I$47,$C78)</f>
        <v>0</v>
      </c>
      <c r="I78" s="17">
        <f>COUNTIF('261005'!$C$18:$C$47,$C78)+COUNTIF('261005'!$I$18:$I$47,$C78)</f>
        <v>0</v>
      </c>
      <c r="J78" s="17">
        <f>COUNTIF('261006'!$C$18:$C$47,$C78)+COUNTIF('261006'!$I$18:$I$47,$C78)</f>
        <v>0</v>
      </c>
      <c r="K78" s="17">
        <f>COUNTIF('261007'!$C$18:$C$47,$C78)+COUNTIF('261007'!$I$18:$I$47,$C78)</f>
        <v>0</v>
      </c>
      <c r="L78" s="17">
        <f>COUNTIF('261008'!$C$18:$C$47,$C78)+COUNTIF('261008'!$I$18:$I$47,$C78)</f>
        <v>0</v>
      </c>
      <c r="M78" s="17">
        <f>COUNTIF('261009'!$C$18:$C$47,$C78)+COUNTIF('261009'!$I$18:$I$47,$C78)</f>
        <v>0</v>
      </c>
      <c r="N78" s="17">
        <f>COUNTIF('261010'!$C$18:$C$47,$C78)+COUNTIF('261010'!$I$18:$I$47,$C78)</f>
        <v>0</v>
      </c>
      <c r="O78" s="17">
        <f>COUNTIF('261011'!$C$18:$C$47,$C78)+COUNTIF('261011'!$I$18:$I$47,$C78)</f>
        <v>0</v>
      </c>
      <c r="P78" s="17">
        <f>COUNTIF('261012'!$C$18:$C$47,$C78)+COUNTIF('261012'!$I$18:$I$47,$C78)</f>
        <v>0</v>
      </c>
      <c r="Q78" s="17">
        <f>COUNTIF('261013'!$C$18:$C$47,$C78)+COUNTIF('261013'!$I$18:$I$47,$C78)</f>
        <v>0</v>
      </c>
      <c r="R78" s="17">
        <f>COUNTIF('261014'!$C$18:$C$47,$C78)+COUNTIF('261014'!$I$18:$I$47,$C78)</f>
        <v>0</v>
      </c>
      <c r="S78" s="17">
        <f>COUNTIF('261015'!$C$18:$C$47,$C78)+COUNTIF('261015'!$I$18:$I$47,$C78)</f>
        <v>0</v>
      </c>
      <c r="T78" s="17">
        <f>COUNTIF('261016'!$C$18:$C$47,$C78)+COUNTIF('261016'!$I$18:$I$47,$C78)</f>
        <v>0</v>
      </c>
      <c r="U78" s="17">
        <f>COUNTIF('261017'!$C$18:$C$47,$C78)+COUNTIF('261017'!$I$18:$I$47,$C78)</f>
        <v>0</v>
      </c>
      <c r="V78" s="17">
        <f>COUNTIF('261018'!$C$18:$C$47,$C78)+COUNTIF('261018'!$I$18:$I$47,$C78)</f>
        <v>0</v>
      </c>
      <c r="W78" s="17">
        <f>COUNTIF('261019'!$C$18:$C$47,$C78)+COUNTIF('261019'!$I$18:$I$47,$C78)</f>
        <v>0</v>
      </c>
      <c r="X78" s="17">
        <f>COUNTIF('261020'!$C$18:$C$47,$C78)+COUNTIF('261020'!$I$18:$I$47,$C78)</f>
        <v>0</v>
      </c>
      <c r="Y78" s="17">
        <f>COUNTIF('261021'!$C$18:$C$47,$C78)+COUNTIF('261021'!$I$18:$I$47,$C78)</f>
        <v>0</v>
      </c>
      <c r="Z78" s="17">
        <f>COUNTIF('261022'!$C$18:$C$47,$C78)+COUNTIF('261022'!$I$18:$I$47,$C78)</f>
        <v>0</v>
      </c>
      <c r="AA78" s="17">
        <f>COUNTIF('261023'!$C$18:$C$47,$C78)+COUNTIF('261023'!$I$18:$I$47,$C78)</f>
        <v>0</v>
      </c>
      <c r="AB78" s="17">
        <f>COUNTIF('261024'!$C$18:$C$47,$C78)+COUNTIF('261024'!$I$18:$I$47,$C78)</f>
        <v>0</v>
      </c>
      <c r="AC78" s="17">
        <f>COUNTIF('261025'!$C$18:$C$47,$C78)+COUNTIF('261025'!$I$18:$I$47,$C78)</f>
        <v>0</v>
      </c>
      <c r="AD78" s="17">
        <f>COUNTIF('261026'!$C$18:$C$47,$C78)+COUNTIF('261026'!$I$18:$I$47,$C78)</f>
        <v>0</v>
      </c>
      <c r="AE78" s="17">
        <f>COUNTIF('261027'!$C$18:$C$47,$C78)+COUNTIF('261027'!$I$18:$I$47,$C78)</f>
        <v>0</v>
      </c>
      <c r="AF78" s="17">
        <f>COUNTIF('261028'!$C$18:$C$47,$C78)+COUNTIF('261028'!$I$18:$I$47,$C78)</f>
        <v>0</v>
      </c>
      <c r="AG78" s="17">
        <f>COUNTIF('261029'!$C$18:$C$47,$C78)+COUNTIF('261029'!$I$18:$I$47,$C78)</f>
        <v>0</v>
      </c>
      <c r="AH78" s="17">
        <f>COUNTIF('261030'!$C$18:$C$47,$C78)+COUNTIF('261030'!$I$18:$I$47,$C78)</f>
        <v>0</v>
      </c>
      <c r="AI78" s="17">
        <f>COUNTIF('261031'!$C$18:$C$47,$C78)+COUNTIF('261031'!$I$18:$I$47,$C78)</f>
        <v>0</v>
      </c>
      <c r="AJ78" s="108">
        <f t="shared" si="4"/>
        <v>0</v>
      </c>
      <c r="AL78" s="16"/>
      <c r="AM78" s="16"/>
    </row>
    <row r="79" spans="2:39" ht="20.100000000000001" customHeight="1" x14ac:dyDescent="0.3">
      <c r="B79" s="36">
        <f t="shared" si="2"/>
        <v>75</v>
      </c>
      <c r="C79" s="62"/>
      <c r="D79" s="62"/>
      <c r="E79" s="17">
        <f>COUNTIF('261001'!$C$18:$C$47,$C79)+COUNTIF('261001'!$I$18:$I$47,$C79)</f>
        <v>0</v>
      </c>
      <c r="F79" s="17">
        <f>COUNTIF('261002'!$C$18:$C$47,$C79)+COUNTIF('261002'!$I$18:$I$47,$C79)</f>
        <v>0</v>
      </c>
      <c r="G79" s="17">
        <f>COUNTIF('261003'!$C$18:$C$47,$C79)+COUNTIF('261003'!$I$18:$I$47,$C79)</f>
        <v>0</v>
      </c>
      <c r="H79" s="17">
        <f>COUNTIF('261004'!$C$18:$C$47,$C79)+COUNTIF('261004'!$I$18:$I$47,$C79)</f>
        <v>0</v>
      </c>
      <c r="I79" s="17">
        <f>COUNTIF('261005'!$C$18:$C$47,$C79)+COUNTIF('261005'!$I$18:$I$47,$C79)</f>
        <v>0</v>
      </c>
      <c r="J79" s="17">
        <f>COUNTIF('261006'!$C$18:$C$47,$C79)+COUNTIF('261006'!$I$18:$I$47,$C79)</f>
        <v>0</v>
      </c>
      <c r="K79" s="17">
        <f>COUNTIF('261007'!$C$18:$C$47,$C79)+COUNTIF('261007'!$I$18:$I$47,$C79)</f>
        <v>0</v>
      </c>
      <c r="L79" s="17">
        <f>COUNTIF('261008'!$C$18:$C$47,$C79)+COUNTIF('261008'!$I$18:$I$47,$C79)</f>
        <v>0</v>
      </c>
      <c r="M79" s="17">
        <f>COUNTIF('261009'!$C$18:$C$47,$C79)+COUNTIF('261009'!$I$18:$I$47,$C79)</f>
        <v>0</v>
      </c>
      <c r="N79" s="17">
        <f>COUNTIF('261010'!$C$18:$C$47,$C79)+COUNTIF('261010'!$I$18:$I$47,$C79)</f>
        <v>0</v>
      </c>
      <c r="O79" s="17">
        <f>COUNTIF('261011'!$C$18:$C$47,$C79)+COUNTIF('261011'!$I$18:$I$47,$C79)</f>
        <v>0</v>
      </c>
      <c r="P79" s="17">
        <f>COUNTIF('261012'!$C$18:$C$47,$C79)+COUNTIF('261012'!$I$18:$I$47,$C79)</f>
        <v>0</v>
      </c>
      <c r="Q79" s="17">
        <f>COUNTIF('261013'!$C$18:$C$47,$C79)+COUNTIF('261013'!$I$18:$I$47,$C79)</f>
        <v>0</v>
      </c>
      <c r="R79" s="17">
        <f>COUNTIF('261014'!$C$18:$C$47,$C79)+COUNTIF('261014'!$I$18:$I$47,$C79)</f>
        <v>0</v>
      </c>
      <c r="S79" s="17">
        <f>COUNTIF('261015'!$C$18:$C$47,$C79)+COUNTIF('261015'!$I$18:$I$47,$C79)</f>
        <v>0</v>
      </c>
      <c r="T79" s="17">
        <f>COUNTIF('261016'!$C$18:$C$47,$C79)+COUNTIF('261016'!$I$18:$I$47,$C79)</f>
        <v>0</v>
      </c>
      <c r="U79" s="17">
        <f>COUNTIF('261017'!$C$18:$C$47,$C79)+COUNTIF('261017'!$I$18:$I$47,$C79)</f>
        <v>0</v>
      </c>
      <c r="V79" s="17">
        <f>COUNTIF('261018'!$C$18:$C$47,$C79)+COUNTIF('261018'!$I$18:$I$47,$C79)</f>
        <v>0</v>
      </c>
      <c r="W79" s="17">
        <f>COUNTIF('261019'!$C$18:$C$47,$C79)+COUNTIF('261019'!$I$18:$I$47,$C79)</f>
        <v>0</v>
      </c>
      <c r="X79" s="17">
        <f>COUNTIF('261020'!$C$18:$C$47,$C79)+COUNTIF('261020'!$I$18:$I$47,$C79)</f>
        <v>0</v>
      </c>
      <c r="Y79" s="17">
        <f>COUNTIF('261021'!$C$18:$C$47,$C79)+COUNTIF('261021'!$I$18:$I$47,$C79)</f>
        <v>0</v>
      </c>
      <c r="Z79" s="17">
        <f>COUNTIF('261022'!$C$18:$C$47,$C79)+COUNTIF('261022'!$I$18:$I$47,$C79)</f>
        <v>0</v>
      </c>
      <c r="AA79" s="17">
        <f>COUNTIF('261023'!$C$18:$C$47,$C79)+COUNTIF('261023'!$I$18:$I$47,$C79)</f>
        <v>0</v>
      </c>
      <c r="AB79" s="17">
        <f>COUNTIF('261024'!$C$18:$C$47,$C79)+COUNTIF('261024'!$I$18:$I$47,$C79)</f>
        <v>0</v>
      </c>
      <c r="AC79" s="17">
        <f>COUNTIF('261025'!$C$18:$C$47,$C79)+COUNTIF('261025'!$I$18:$I$47,$C79)</f>
        <v>0</v>
      </c>
      <c r="AD79" s="17">
        <f>COUNTIF('261026'!$C$18:$C$47,$C79)+COUNTIF('261026'!$I$18:$I$47,$C79)</f>
        <v>0</v>
      </c>
      <c r="AE79" s="17">
        <f>COUNTIF('261027'!$C$18:$C$47,$C79)+COUNTIF('261027'!$I$18:$I$47,$C79)</f>
        <v>0</v>
      </c>
      <c r="AF79" s="17">
        <f>COUNTIF('261028'!$C$18:$C$47,$C79)+COUNTIF('261028'!$I$18:$I$47,$C79)</f>
        <v>0</v>
      </c>
      <c r="AG79" s="17">
        <f>COUNTIF('261029'!$C$18:$C$47,$C79)+COUNTIF('261029'!$I$18:$I$47,$C79)</f>
        <v>0</v>
      </c>
      <c r="AH79" s="17">
        <f>COUNTIF('261030'!$C$18:$C$47,$C79)+COUNTIF('261030'!$I$18:$I$47,$C79)</f>
        <v>0</v>
      </c>
      <c r="AI79" s="17">
        <f>COUNTIF('261031'!$C$18:$C$47,$C79)+COUNTIF('261031'!$I$18:$I$47,$C79)</f>
        <v>0</v>
      </c>
      <c r="AJ79" s="108">
        <f t="shared" si="4"/>
        <v>0</v>
      </c>
      <c r="AL79" s="16"/>
      <c r="AM79" s="16"/>
    </row>
    <row r="80" spans="2:39" ht="20.100000000000001" customHeight="1" x14ac:dyDescent="0.3">
      <c r="B80" s="36">
        <f t="shared" si="2"/>
        <v>76</v>
      </c>
      <c r="C80" s="62"/>
      <c r="D80" s="62"/>
      <c r="E80" s="17">
        <f>COUNTIF('261001'!$C$18:$C$47,$C80)+COUNTIF('261001'!$I$18:$I$47,$C80)</f>
        <v>0</v>
      </c>
      <c r="F80" s="17">
        <f>COUNTIF('261002'!$C$18:$C$47,$C80)+COUNTIF('261002'!$I$18:$I$47,$C80)</f>
        <v>0</v>
      </c>
      <c r="G80" s="17">
        <f>COUNTIF('261003'!$C$18:$C$47,$C80)+COUNTIF('261003'!$I$18:$I$47,$C80)</f>
        <v>0</v>
      </c>
      <c r="H80" s="17">
        <f>COUNTIF('261004'!$C$18:$C$47,$C80)+COUNTIF('261004'!$I$18:$I$47,$C80)</f>
        <v>0</v>
      </c>
      <c r="I80" s="17">
        <f>COUNTIF('261005'!$C$18:$C$47,$C80)+COUNTIF('261005'!$I$18:$I$47,$C80)</f>
        <v>0</v>
      </c>
      <c r="J80" s="17">
        <f>COUNTIF('261006'!$C$18:$C$47,$C80)+COUNTIF('261006'!$I$18:$I$47,$C80)</f>
        <v>0</v>
      </c>
      <c r="K80" s="17">
        <f>COUNTIF('261007'!$C$18:$C$47,$C80)+COUNTIF('261007'!$I$18:$I$47,$C80)</f>
        <v>0</v>
      </c>
      <c r="L80" s="17">
        <f>COUNTIF('261008'!$C$18:$C$47,$C80)+COUNTIF('261008'!$I$18:$I$47,$C80)</f>
        <v>0</v>
      </c>
      <c r="M80" s="17">
        <f>COUNTIF('261009'!$C$18:$C$47,$C80)+COUNTIF('261009'!$I$18:$I$47,$C80)</f>
        <v>0</v>
      </c>
      <c r="N80" s="17">
        <f>COUNTIF('261010'!$C$18:$C$47,$C80)+COUNTIF('261010'!$I$18:$I$47,$C80)</f>
        <v>0</v>
      </c>
      <c r="O80" s="17">
        <f>COUNTIF('261011'!$C$18:$C$47,$C80)+COUNTIF('261011'!$I$18:$I$47,$C80)</f>
        <v>0</v>
      </c>
      <c r="P80" s="17">
        <f>COUNTIF('261012'!$C$18:$C$47,$C80)+COUNTIF('261012'!$I$18:$I$47,$C80)</f>
        <v>0</v>
      </c>
      <c r="Q80" s="17">
        <f>COUNTIF('261013'!$C$18:$C$47,$C80)+COUNTIF('261013'!$I$18:$I$47,$C80)</f>
        <v>0</v>
      </c>
      <c r="R80" s="17">
        <f>COUNTIF('261014'!$C$18:$C$47,$C80)+COUNTIF('261014'!$I$18:$I$47,$C80)</f>
        <v>0</v>
      </c>
      <c r="S80" s="17">
        <f>COUNTIF('261015'!$C$18:$C$47,$C80)+COUNTIF('261015'!$I$18:$I$47,$C80)</f>
        <v>0</v>
      </c>
      <c r="T80" s="17">
        <f>COUNTIF('261016'!$C$18:$C$47,$C80)+COUNTIF('261016'!$I$18:$I$47,$C80)</f>
        <v>0</v>
      </c>
      <c r="U80" s="17">
        <f>COUNTIF('261017'!$C$18:$C$47,$C80)+COUNTIF('261017'!$I$18:$I$47,$C80)</f>
        <v>0</v>
      </c>
      <c r="V80" s="17">
        <f>COUNTIF('261018'!$C$18:$C$47,$C80)+COUNTIF('261018'!$I$18:$I$47,$C80)</f>
        <v>0</v>
      </c>
      <c r="W80" s="17">
        <f>COUNTIF('261019'!$C$18:$C$47,$C80)+COUNTIF('261019'!$I$18:$I$47,$C80)</f>
        <v>0</v>
      </c>
      <c r="X80" s="17">
        <f>COUNTIF('261020'!$C$18:$C$47,$C80)+COUNTIF('261020'!$I$18:$I$47,$C80)</f>
        <v>0</v>
      </c>
      <c r="Y80" s="17">
        <f>COUNTIF('261021'!$C$18:$C$47,$C80)+COUNTIF('261021'!$I$18:$I$47,$C80)</f>
        <v>0</v>
      </c>
      <c r="Z80" s="17">
        <f>COUNTIF('261022'!$C$18:$C$47,$C80)+COUNTIF('261022'!$I$18:$I$47,$C80)</f>
        <v>0</v>
      </c>
      <c r="AA80" s="17">
        <f>COUNTIF('261023'!$C$18:$C$47,$C80)+COUNTIF('261023'!$I$18:$I$47,$C80)</f>
        <v>0</v>
      </c>
      <c r="AB80" s="17">
        <f>COUNTIF('261024'!$C$18:$C$47,$C80)+COUNTIF('261024'!$I$18:$I$47,$C80)</f>
        <v>0</v>
      </c>
      <c r="AC80" s="17">
        <f>COUNTIF('261025'!$C$18:$C$47,$C80)+COUNTIF('261025'!$I$18:$I$47,$C80)</f>
        <v>0</v>
      </c>
      <c r="AD80" s="17">
        <f>COUNTIF('261026'!$C$18:$C$47,$C80)+COUNTIF('261026'!$I$18:$I$47,$C80)</f>
        <v>0</v>
      </c>
      <c r="AE80" s="17">
        <f>COUNTIF('261027'!$C$18:$C$47,$C80)+COUNTIF('261027'!$I$18:$I$47,$C80)</f>
        <v>0</v>
      </c>
      <c r="AF80" s="17">
        <f>COUNTIF('261028'!$C$18:$C$47,$C80)+COUNTIF('261028'!$I$18:$I$47,$C80)</f>
        <v>0</v>
      </c>
      <c r="AG80" s="17">
        <f>COUNTIF('261029'!$C$18:$C$47,$C80)+COUNTIF('261029'!$I$18:$I$47,$C80)</f>
        <v>0</v>
      </c>
      <c r="AH80" s="17">
        <f>COUNTIF('261030'!$C$18:$C$47,$C80)+COUNTIF('261030'!$I$18:$I$47,$C80)</f>
        <v>0</v>
      </c>
      <c r="AI80" s="17">
        <f>COUNTIF('261031'!$C$18:$C$47,$C80)+COUNTIF('261031'!$I$18:$I$47,$C80)</f>
        <v>0</v>
      </c>
      <c r="AJ80" s="108">
        <f t="shared" si="4"/>
        <v>0</v>
      </c>
      <c r="AL80" s="16"/>
      <c r="AM80" s="16"/>
    </row>
    <row r="81" spans="2:39" ht="20.100000000000001" customHeight="1" x14ac:dyDescent="0.3">
      <c r="B81" s="36">
        <f t="shared" si="2"/>
        <v>77</v>
      </c>
      <c r="C81" s="62"/>
      <c r="D81" s="62"/>
      <c r="E81" s="17">
        <f>COUNTIF('261001'!$C$18:$C$47,$C81)+COUNTIF('261001'!$I$18:$I$47,$C81)</f>
        <v>0</v>
      </c>
      <c r="F81" s="17">
        <f>COUNTIF('261002'!$C$18:$C$47,$C81)+COUNTIF('261002'!$I$18:$I$47,$C81)</f>
        <v>0</v>
      </c>
      <c r="G81" s="17">
        <f>COUNTIF('261003'!$C$18:$C$47,$C81)+COUNTIF('261003'!$I$18:$I$47,$C81)</f>
        <v>0</v>
      </c>
      <c r="H81" s="17">
        <f>COUNTIF('261004'!$C$18:$C$47,$C81)+COUNTIF('261004'!$I$18:$I$47,$C81)</f>
        <v>0</v>
      </c>
      <c r="I81" s="17">
        <f>COUNTIF('261005'!$C$18:$C$47,$C81)+COUNTIF('261005'!$I$18:$I$47,$C81)</f>
        <v>0</v>
      </c>
      <c r="J81" s="17">
        <f>COUNTIF('261006'!$C$18:$C$47,$C81)+COUNTIF('261006'!$I$18:$I$47,$C81)</f>
        <v>0</v>
      </c>
      <c r="K81" s="17">
        <f>COUNTIF('261007'!$C$18:$C$47,$C81)+COUNTIF('261007'!$I$18:$I$47,$C81)</f>
        <v>0</v>
      </c>
      <c r="L81" s="17">
        <f>COUNTIF('261008'!$C$18:$C$47,$C81)+COUNTIF('261008'!$I$18:$I$47,$C81)</f>
        <v>0</v>
      </c>
      <c r="M81" s="17">
        <f>COUNTIF('261009'!$C$18:$C$47,$C81)+COUNTIF('261009'!$I$18:$I$47,$C81)</f>
        <v>0</v>
      </c>
      <c r="N81" s="17">
        <f>COUNTIF('261010'!$C$18:$C$47,$C81)+COUNTIF('261010'!$I$18:$I$47,$C81)</f>
        <v>0</v>
      </c>
      <c r="O81" s="17">
        <f>COUNTIF('261011'!$C$18:$C$47,$C81)+COUNTIF('261011'!$I$18:$I$47,$C81)</f>
        <v>0</v>
      </c>
      <c r="P81" s="17">
        <f>COUNTIF('261012'!$C$18:$C$47,$C81)+COUNTIF('261012'!$I$18:$I$47,$C81)</f>
        <v>0</v>
      </c>
      <c r="Q81" s="17">
        <f>COUNTIF('261013'!$C$18:$C$47,$C81)+COUNTIF('261013'!$I$18:$I$47,$C81)</f>
        <v>0</v>
      </c>
      <c r="R81" s="17">
        <f>COUNTIF('261014'!$C$18:$C$47,$C81)+COUNTIF('261014'!$I$18:$I$47,$C81)</f>
        <v>0</v>
      </c>
      <c r="S81" s="17">
        <f>COUNTIF('261015'!$C$18:$C$47,$C81)+COUNTIF('261015'!$I$18:$I$47,$C81)</f>
        <v>0</v>
      </c>
      <c r="T81" s="17">
        <f>COUNTIF('261016'!$C$18:$C$47,$C81)+COUNTIF('261016'!$I$18:$I$47,$C81)</f>
        <v>0</v>
      </c>
      <c r="U81" s="17">
        <f>COUNTIF('261017'!$C$18:$C$47,$C81)+COUNTIF('261017'!$I$18:$I$47,$C81)</f>
        <v>0</v>
      </c>
      <c r="V81" s="17">
        <f>COUNTIF('261018'!$C$18:$C$47,$C81)+COUNTIF('261018'!$I$18:$I$47,$C81)</f>
        <v>0</v>
      </c>
      <c r="W81" s="17">
        <f>COUNTIF('261019'!$C$18:$C$47,$C81)+COUNTIF('261019'!$I$18:$I$47,$C81)</f>
        <v>0</v>
      </c>
      <c r="X81" s="17">
        <f>COUNTIF('261020'!$C$18:$C$47,$C81)+COUNTIF('261020'!$I$18:$I$47,$C81)</f>
        <v>0</v>
      </c>
      <c r="Y81" s="17">
        <f>COUNTIF('261021'!$C$18:$C$47,$C81)+COUNTIF('261021'!$I$18:$I$47,$C81)</f>
        <v>0</v>
      </c>
      <c r="Z81" s="17">
        <f>COUNTIF('261022'!$C$18:$C$47,$C81)+COUNTIF('261022'!$I$18:$I$47,$C81)</f>
        <v>0</v>
      </c>
      <c r="AA81" s="17">
        <f>COUNTIF('261023'!$C$18:$C$47,$C81)+COUNTIF('261023'!$I$18:$I$47,$C81)</f>
        <v>0</v>
      </c>
      <c r="AB81" s="17">
        <f>COUNTIF('261024'!$C$18:$C$47,$C81)+COUNTIF('261024'!$I$18:$I$47,$C81)</f>
        <v>0</v>
      </c>
      <c r="AC81" s="17">
        <f>COUNTIF('261025'!$C$18:$C$47,$C81)+COUNTIF('261025'!$I$18:$I$47,$C81)</f>
        <v>0</v>
      </c>
      <c r="AD81" s="17">
        <f>COUNTIF('261026'!$C$18:$C$47,$C81)+COUNTIF('261026'!$I$18:$I$47,$C81)</f>
        <v>0</v>
      </c>
      <c r="AE81" s="17">
        <f>COUNTIF('261027'!$C$18:$C$47,$C81)+COUNTIF('261027'!$I$18:$I$47,$C81)</f>
        <v>0</v>
      </c>
      <c r="AF81" s="17">
        <f>COUNTIF('261028'!$C$18:$C$47,$C81)+COUNTIF('261028'!$I$18:$I$47,$C81)</f>
        <v>0</v>
      </c>
      <c r="AG81" s="17">
        <f>COUNTIF('261029'!$C$18:$C$47,$C81)+COUNTIF('261029'!$I$18:$I$47,$C81)</f>
        <v>0</v>
      </c>
      <c r="AH81" s="17">
        <f>COUNTIF('261030'!$C$18:$C$47,$C81)+COUNTIF('261030'!$I$18:$I$47,$C81)</f>
        <v>0</v>
      </c>
      <c r="AI81" s="17">
        <f>COUNTIF('261031'!$C$18:$C$47,$C81)+COUNTIF('261031'!$I$18:$I$47,$C81)</f>
        <v>0</v>
      </c>
      <c r="AJ81" s="108">
        <f t="shared" si="4"/>
        <v>0</v>
      </c>
      <c r="AL81" s="16"/>
      <c r="AM81" s="16"/>
    </row>
    <row r="82" spans="2:39" ht="20.100000000000001" customHeight="1" x14ac:dyDescent="0.3">
      <c r="B82" s="36">
        <f t="shared" si="2"/>
        <v>78</v>
      </c>
      <c r="C82" s="62"/>
      <c r="D82" s="62"/>
      <c r="E82" s="17">
        <f>COUNTIF('261001'!$C$18:$C$47,$C82)+COUNTIF('261001'!$I$18:$I$47,$C82)</f>
        <v>0</v>
      </c>
      <c r="F82" s="17">
        <f>COUNTIF('261002'!$C$18:$C$47,$C82)+COUNTIF('261002'!$I$18:$I$47,$C82)</f>
        <v>0</v>
      </c>
      <c r="G82" s="17">
        <f>COUNTIF('261003'!$C$18:$C$47,$C82)+COUNTIF('261003'!$I$18:$I$47,$C82)</f>
        <v>0</v>
      </c>
      <c r="H82" s="17">
        <f>COUNTIF('261004'!$C$18:$C$47,$C82)+COUNTIF('261004'!$I$18:$I$47,$C82)</f>
        <v>0</v>
      </c>
      <c r="I82" s="17">
        <f>COUNTIF('261005'!$C$18:$C$47,$C82)+COUNTIF('261005'!$I$18:$I$47,$C82)</f>
        <v>0</v>
      </c>
      <c r="J82" s="17">
        <f>COUNTIF('261006'!$C$18:$C$47,$C82)+COUNTIF('261006'!$I$18:$I$47,$C82)</f>
        <v>0</v>
      </c>
      <c r="K82" s="17">
        <f>COUNTIF('261007'!$C$18:$C$47,$C82)+COUNTIF('261007'!$I$18:$I$47,$C82)</f>
        <v>0</v>
      </c>
      <c r="L82" s="17">
        <f>COUNTIF('261008'!$C$18:$C$47,$C82)+COUNTIF('261008'!$I$18:$I$47,$C82)</f>
        <v>0</v>
      </c>
      <c r="M82" s="17">
        <f>COUNTIF('261009'!$C$18:$C$47,$C82)+COUNTIF('261009'!$I$18:$I$47,$C82)</f>
        <v>0</v>
      </c>
      <c r="N82" s="17">
        <f>COUNTIF('261010'!$C$18:$C$47,$C82)+COUNTIF('261010'!$I$18:$I$47,$C82)</f>
        <v>0</v>
      </c>
      <c r="O82" s="17">
        <f>COUNTIF('261011'!$C$18:$C$47,$C82)+COUNTIF('261011'!$I$18:$I$47,$C82)</f>
        <v>0</v>
      </c>
      <c r="P82" s="17">
        <f>COUNTIF('261012'!$C$18:$C$47,$C82)+COUNTIF('261012'!$I$18:$I$47,$C82)</f>
        <v>0</v>
      </c>
      <c r="Q82" s="17">
        <f>COUNTIF('261013'!$C$18:$C$47,$C82)+COUNTIF('261013'!$I$18:$I$47,$C82)</f>
        <v>0</v>
      </c>
      <c r="R82" s="17">
        <f>COUNTIF('261014'!$C$18:$C$47,$C82)+COUNTIF('261014'!$I$18:$I$47,$C82)</f>
        <v>0</v>
      </c>
      <c r="S82" s="17">
        <f>COUNTIF('261015'!$C$18:$C$47,$C82)+COUNTIF('261015'!$I$18:$I$47,$C82)</f>
        <v>0</v>
      </c>
      <c r="T82" s="17">
        <f>COUNTIF('261016'!$C$18:$C$47,$C82)+COUNTIF('261016'!$I$18:$I$47,$C82)</f>
        <v>0</v>
      </c>
      <c r="U82" s="17">
        <f>COUNTIF('261017'!$C$18:$C$47,$C82)+COUNTIF('261017'!$I$18:$I$47,$C82)</f>
        <v>0</v>
      </c>
      <c r="V82" s="17">
        <f>COUNTIF('261018'!$C$18:$C$47,$C82)+COUNTIF('261018'!$I$18:$I$47,$C82)</f>
        <v>0</v>
      </c>
      <c r="W82" s="17">
        <f>COUNTIF('261019'!$C$18:$C$47,$C82)+COUNTIF('261019'!$I$18:$I$47,$C82)</f>
        <v>0</v>
      </c>
      <c r="X82" s="17">
        <f>COUNTIF('261020'!$C$18:$C$47,$C82)+COUNTIF('261020'!$I$18:$I$47,$C82)</f>
        <v>0</v>
      </c>
      <c r="Y82" s="17">
        <f>COUNTIF('261021'!$C$18:$C$47,$C82)+COUNTIF('261021'!$I$18:$I$47,$C82)</f>
        <v>0</v>
      </c>
      <c r="Z82" s="17">
        <f>COUNTIF('261022'!$C$18:$C$47,$C82)+COUNTIF('261022'!$I$18:$I$47,$C82)</f>
        <v>0</v>
      </c>
      <c r="AA82" s="17">
        <f>COUNTIF('261023'!$C$18:$C$47,$C82)+COUNTIF('261023'!$I$18:$I$47,$C82)</f>
        <v>0</v>
      </c>
      <c r="AB82" s="17">
        <f>COUNTIF('261024'!$C$18:$C$47,$C82)+COUNTIF('261024'!$I$18:$I$47,$C82)</f>
        <v>0</v>
      </c>
      <c r="AC82" s="17">
        <f>COUNTIF('261025'!$C$18:$C$47,$C82)+COUNTIF('261025'!$I$18:$I$47,$C82)</f>
        <v>0</v>
      </c>
      <c r="AD82" s="17">
        <f>COUNTIF('261026'!$C$18:$C$47,$C82)+COUNTIF('261026'!$I$18:$I$47,$C82)</f>
        <v>0</v>
      </c>
      <c r="AE82" s="17">
        <f>COUNTIF('261027'!$C$18:$C$47,$C82)+COUNTIF('261027'!$I$18:$I$47,$C82)</f>
        <v>0</v>
      </c>
      <c r="AF82" s="17">
        <f>COUNTIF('261028'!$C$18:$C$47,$C82)+COUNTIF('261028'!$I$18:$I$47,$C82)</f>
        <v>0</v>
      </c>
      <c r="AG82" s="17">
        <f>COUNTIF('261029'!$C$18:$C$47,$C82)+COUNTIF('261029'!$I$18:$I$47,$C82)</f>
        <v>0</v>
      </c>
      <c r="AH82" s="17">
        <f>COUNTIF('261030'!$C$18:$C$47,$C82)+COUNTIF('261030'!$I$18:$I$47,$C82)</f>
        <v>0</v>
      </c>
      <c r="AI82" s="17">
        <f>COUNTIF('261031'!$C$18:$C$47,$C82)+COUNTIF('261031'!$I$18:$I$47,$C82)</f>
        <v>0</v>
      </c>
      <c r="AJ82" s="108">
        <f t="shared" si="4"/>
        <v>0</v>
      </c>
      <c r="AL82" s="16"/>
      <c r="AM82" s="16"/>
    </row>
    <row r="83" spans="2:39" ht="20.100000000000001" customHeight="1" x14ac:dyDescent="0.3">
      <c r="B83" s="36">
        <f t="shared" si="2"/>
        <v>79</v>
      </c>
      <c r="C83" s="62"/>
      <c r="D83" s="62"/>
      <c r="E83" s="17">
        <f>COUNTIF('261001'!$C$18:$C$47,$C83)+COUNTIF('261001'!$I$18:$I$47,$C83)</f>
        <v>0</v>
      </c>
      <c r="F83" s="17">
        <f>COUNTIF('261002'!$C$18:$C$47,$C83)+COUNTIF('261002'!$I$18:$I$47,$C83)</f>
        <v>0</v>
      </c>
      <c r="G83" s="17">
        <f>COUNTIF('261003'!$C$18:$C$47,$C83)+COUNTIF('261003'!$I$18:$I$47,$C83)</f>
        <v>0</v>
      </c>
      <c r="H83" s="17">
        <f>COUNTIF('261004'!$C$18:$C$47,$C83)+COUNTIF('261004'!$I$18:$I$47,$C83)</f>
        <v>0</v>
      </c>
      <c r="I83" s="17">
        <f>COUNTIF('261005'!$C$18:$C$47,$C83)+COUNTIF('261005'!$I$18:$I$47,$C83)</f>
        <v>0</v>
      </c>
      <c r="J83" s="17">
        <f>COUNTIF('261006'!$C$18:$C$47,$C83)+COUNTIF('261006'!$I$18:$I$47,$C83)</f>
        <v>0</v>
      </c>
      <c r="K83" s="17">
        <f>COUNTIF('261007'!$C$18:$C$47,$C83)+COUNTIF('261007'!$I$18:$I$47,$C83)</f>
        <v>0</v>
      </c>
      <c r="L83" s="17">
        <f>COUNTIF('261008'!$C$18:$C$47,$C83)+COUNTIF('261008'!$I$18:$I$47,$C83)</f>
        <v>0</v>
      </c>
      <c r="M83" s="17">
        <f>COUNTIF('261009'!$C$18:$C$47,$C83)+COUNTIF('261009'!$I$18:$I$47,$C83)</f>
        <v>0</v>
      </c>
      <c r="N83" s="17">
        <f>COUNTIF('261010'!$C$18:$C$47,$C83)+COUNTIF('261010'!$I$18:$I$47,$C83)</f>
        <v>0</v>
      </c>
      <c r="O83" s="17">
        <f>COUNTIF('261011'!$C$18:$C$47,$C83)+COUNTIF('261011'!$I$18:$I$47,$C83)</f>
        <v>0</v>
      </c>
      <c r="P83" s="17">
        <f>COUNTIF('261012'!$C$18:$C$47,$C83)+COUNTIF('261012'!$I$18:$I$47,$C83)</f>
        <v>0</v>
      </c>
      <c r="Q83" s="17">
        <f>COUNTIF('261013'!$C$18:$C$47,$C83)+COUNTIF('261013'!$I$18:$I$47,$C83)</f>
        <v>0</v>
      </c>
      <c r="R83" s="17">
        <f>COUNTIF('261014'!$C$18:$C$47,$C83)+COUNTIF('261014'!$I$18:$I$47,$C83)</f>
        <v>0</v>
      </c>
      <c r="S83" s="17">
        <f>COUNTIF('261015'!$C$18:$C$47,$C83)+COUNTIF('261015'!$I$18:$I$47,$C83)</f>
        <v>0</v>
      </c>
      <c r="T83" s="17">
        <f>COUNTIF('261016'!$C$18:$C$47,$C83)+COUNTIF('261016'!$I$18:$I$47,$C83)</f>
        <v>0</v>
      </c>
      <c r="U83" s="17">
        <f>COUNTIF('261017'!$C$18:$C$47,$C83)+COUNTIF('261017'!$I$18:$I$47,$C83)</f>
        <v>0</v>
      </c>
      <c r="V83" s="17">
        <f>COUNTIF('261018'!$C$18:$C$47,$C83)+COUNTIF('261018'!$I$18:$I$47,$C83)</f>
        <v>0</v>
      </c>
      <c r="W83" s="17">
        <f>COUNTIF('261019'!$C$18:$C$47,$C83)+COUNTIF('261019'!$I$18:$I$47,$C83)</f>
        <v>0</v>
      </c>
      <c r="X83" s="17">
        <f>COUNTIF('261020'!$C$18:$C$47,$C83)+COUNTIF('261020'!$I$18:$I$47,$C83)</f>
        <v>0</v>
      </c>
      <c r="Y83" s="17">
        <f>COUNTIF('261021'!$C$18:$C$47,$C83)+COUNTIF('261021'!$I$18:$I$47,$C83)</f>
        <v>0</v>
      </c>
      <c r="Z83" s="17">
        <f>COUNTIF('261022'!$C$18:$C$47,$C83)+COUNTIF('261022'!$I$18:$I$47,$C83)</f>
        <v>0</v>
      </c>
      <c r="AA83" s="17">
        <f>COUNTIF('261023'!$C$18:$C$47,$C83)+COUNTIF('261023'!$I$18:$I$47,$C83)</f>
        <v>0</v>
      </c>
      <c r="AB83" s="17">
        <f>COUNTIF('261024'!$C$18:$C$47,$C83)+COUNTIF('261024'!$I$18:$I$47,$C83)</f>
        <v>0</v>
      </c>
      <c r="AC83" s="17">
        <f>COUNTIF('261025'!$C$18:$C$47,$C83)+COUNTIF('261025'!$I$18:$I$47,$C83)</f>
        <v>0</v>
      </c>
      <c r="AD83" s="17">
        <f>COUNTIF('261026'!$C$18:$C$47,$C83)+COUNTIF('261026'!$I$18:$I$47,$C83)</f>
        <v>0</v>
      </c>
      <c r="AE83" s="17">
        <f>COUNTIF('261027'!$C$18:$C$47,$C83)+COUNTIF('261027'!$I$18:$I$47,$C83)</f>
        <v>0</v>
      </c>
      <c r="AF83" s="17">
        <f>COUNTIF('261028'!$C$18:$C$47,$C83)+COUNTIF('261028'!$I$18:$I$47,$C83)</f>
        <v>0</v>
      </c>
      <c r="AG83" s="17">
        <f>COUNTIF('261029'!$C$18:$C$47,$C83)+COUNTIF('261029'!$I$18:$I$47,$C83)</f>
        <v>0</v>
      </c>
      <c r="AH83" s="17">
        <f>COUNTIF('261030'!$C$18:$C$47,$C83)+COUNTIF('261030'!$I$18:$I$47,$C83)</f>
        <v>0</v>
      </c>
      <c r="AI83" s="17">
        <f>COUNTIF('261031'!$C$18:$C$47,$C83)+COUNTIF('261031'!$I$18:$I$47,$C83)</f>
        <v>0</v>
      </c>
      <c r="AJ83" s="108">
        <f t="shared" si="4"/>
        <v>0</v>
      </c>
      <c r="AL83" s="16"/>
      <c r="AM83" s="16"/>
    </row>
    <row r="84" spans="2:39" ht="20.100000000000001" customHeight="1" x14ac:dyDescent="0.3">
      <c r="B84" s="36">
        <f t="shared" si="2"/>
        <v>80</v>
      </c>
      <c r="C84" s="62"/>
      <c r="D84" s="62"/>
      <c r="E84" s="17">
        <f>COUNTIF('261001'!$C$18:$C$47,$C84)+COUNTIF('261001'!$I$18:$I$47,$C84)</f>
        <v>0</v>
      </c>
      <c r="F84" s="17">
        <f>COUNTIF('261002'!$C$18:$C$47,$C84)+COUNTIF('261002'!$I$18:$I$47,$C84)</f>
        <v>0</v>
      </c>
      <c r="G84" s="17">
        <f>COUNTIF('261003'!$C$18:$C$47,$C84)+COUNTIF('261003'!$I$18:$I$47,$C84)</f>
        <v>0</v>
      </c>
      <c r="H84" s="17">
        <f>COUNTIF('261004'!$C$18:$C$47,$C84)+COUNTIF('261004'!$I$18:$I$47,$C84)</f>
        <v>0</v>
      </c>
      <c r="I84" s="17">
        <f>COUNTIF('261005'!$C$18:$C$47,$C84)+COUNTIF('261005'!$I$18:$I$47,$C84)</f>
        <v>0</v>
      </c>
      <c r="J84" s="17">
        <f>COUNTIF('261006'!$C$18:$C$47,$C84)+COUNTIF('261006'!$I$18:$I$47,$C84)</f>
        <v>0</v>
      </c>
      <c r="K84" s="17">
        <f>COUNTIF('261007'!$C$18:$C$47,$C84)+COUNTIF('261007'!$I$18:$I$47,$C84)</f>
        <v>0</v>
      </c>
      <c r="L84" s="17">
        <f>COUNTIF('261008'!$C$18:$C$47,$C84)+COUNTIF('261008'!$I$18:$I$47,$C84)</f>
        <v>0</v>
      </c>
      <c r="M84" s="17">
        <f>COUNTIF('261009'!$C$18:$C$47,$C84)+COUNTIF('261009'!$I$18:$I$47,$C84)</f>
        <v>0</v>
      </c>
      <c r="N84" s="17">
        <f>COUNTIF('261010'!$C$18:$C$47,$C84)+COUNTIF('261010'!$I$18:$I$47,$C84)</f>
        <v>0</v>
      </c>
      <c r="O84" s="17">
        <f>COUNTIF('261011'!$C$18:$C$47,$C84)+COUNTIF('261011'!$I$18:$I$47,$C84)</f>
        <v>0</v>
      </c>
      <c r="P84" s="17">
        <f>COUNTIF('261012'!$C$18:$C$47,$C84)+COUNTIF('261012'!$I$18:$I$47,$C84)</f>
        <v>0</v>
      </c>
      <c r="Q84" s="17">
        <f>COUNTIF('261013'!$C$18:$C$47,$C84)+COUNTIF('261013'!$I$18:$I$47,$C84)</f>
        <v>0</v>
      </c>
      <c r="R84" s="17">
        <f>COUNTIF('261014'!$C$18:$C$47,$C84)+COUNTIF('261014'!$I$18:$I$47,$C84)</f>
        <v>0</v>
      </c>
      <c r="S84" s="17">
        <f>COUNTIF('261015'!$C$18:$C$47,$C84)+COUNTIF('261015'!$I$18:$I$47,$C84)</f>
        <v>0</v>
      </c>
      <c r="T84" s="17">
        <f>COUNTIF('261016'!$C$18:$C$47,$C84)+COUNTIF('261016'!$I$18:$I$47,$C84)</f>
        <v>0</v>
      </c>
      <c r="U84" s="17">
        <f>COUNTIF('261017'!$C$18:$C$47,$C84)+COUNTIF('261017'!$I$18:$I$47,$C84)</f>
        <v>0</v>
      </c>
      <c r="V84" s="17">
        <f>COUNTIF('261018'!$C$18:$C$47,$C84)+COUNTIF('261018'!$I$18:$I$47,$C84)</f>
        <v>0</v>
      </c>
      <c r="W84" s="17">
        <f>COUNTIF('261019'!$C$18:$C$47,$C84)+COUNTIF('261019'!$I$18:$I$47,$C84)</f>
        <v>0</v>
      </c>
      <c r="X84" s="17">
        <f>COUNTIF('261020'!$C$18:$C$47,$C84)+COUNTIF('261020'!$I$18:$I$47,$C84)</f>
        <v>0</v>
      </c>
      <c r="Y84" s="17">
        <f>COUNTIF('261021'!$C$18:$C$47,$C84)+COUNTIF('261021'!$I$18:$I$47,$C84)</f>
        <v>0</v>
      </c>
      <c r="Z84" s="17">
        <f>COUNTIF('261022'!$C$18:$C$47,$C84)+COUNTIF('261022'!$I$18:$I$47,$C84)</f>
        <v>0</v>
      </c>
      <c r="AA84" s="17">
        <f>COUNTIF('261023'!$C$18:$C$47,$C84)+COUNTIF('261023'!$I$18:$I$47,$C84)</f>
        <v>0</v>
      </c>
      <c r="AB84" s="17">
        <f>COUNTIF('261024'!$C$18:$C$47,$C84)+COUNTIF('261024'!$I$18:$I$47,$C84)</f>
        <v>0</v>
      </c>
      <c r="AC84" s="17">
        <f>COUNTIF('261025'!$C$18:$C$47,$C84)+COUNTIF('261025'!$I$18:$I$47,$C84)</f>
        <v>0</v>
      </c>
      <c r="AD84" s="17">
        <f>COUNTIF('261026'!$C$18:$C$47,$C84)+COUNTIF('261026'!$I$18:$I$47,$C84)</f>
        <v>0</v>
      </c>
      <c r="AE84" s="17">
        <f>COUNTIF('261027'!$C$18:$C$47,$C84)+COUNTIF('261027'!$I$18:$I$47,$C84)</f>
        <v>0</v>
      </c>
      <c r="AF84" s="17">
        <f>COUNTIF('261028'!$C$18:$C$47,$C84)+COUNTIF('261028'!$I$18:$I$47,$C84)</f>
        <v>0</v>
      </c>
      <c r="AG84" s="17">
        <f>COUNTIF('261029'!$C$18:$C$47,$C84)+COUNTIF('261029'!$I$18:$I$47,$C84)</f>
        <v>0</v>
      </c>
      <c r="AH84" s="17">
        <f>COUNTIF('261030'!$C$18:$C$47,$C84)+COUNTIF('261030'!$I$18:$I$47,$C84)</f>
        <v>0</v>
      </c>
      <c r="AI84" s="17">
        <f>COUNTIF('261031'!$C$18:$C$47,$C84)+COUNTIF('261031'!$I$18:$I$47,$C84)</f>
        <v>0</v>
      </c>
      <c r="AJ84" s="108">
        <f t="shared" si="4"/>
        <v>0</v>
      </c>
      <c r="AL84" s="16"/>
      <c r="AM84" s="16"/>
    </row>
    <row r="85" spans="2:39" ht="20.100000000000001" customHeight="1" x14ac:dyDescent="0.3">
      <c r="B85" s="36">
        <f t="shared" si="2"/>
        <v>81</v>
      </c>
      <c r="C85" s="62"/>
      <c r="D85" s="62"/>
      <c r="E85" s="17">
        <f>COUNTIF('261001'!$C$18:$C$47,$C85)+COUNTIF('261001'!$I$18:$I$47,$C85)</f>
        <v>0</v>
      </c>
      <c r="F85" s="17">
        <f>COUNTIF('261002'!$C$18:$C$47,$C85)+COUNTIF('261002'!$I$18:$I$47,$C85)</f>
        <v>0</v>
      </c>
      <c r="G85" s="17">
        <f>COUNTIF('261003'!$C$18:$C$47,$C85)+COUNTIF('261003'!$I$18:$I$47,$C85)</f>
        <v>0</v>
      </c>
      <c r="H85" s="17">
        <f>COUNTIF('261004'!$C$18:$C$47,$C85)+COUNTIF('261004'!$I$18:$I$47,$C85)</f>
        <v>0</v>
      </c>
      <c r="I85" s="17">
        <f>COUNTIF('261005'!$C$18:$C$47,$C85)+COUNTIF('261005'!$I$18:$I$47,$C85)</f>
        <v>0</v>
      </c>
      <c r="J85" s="17">
        <f>COUNTIF('261006'!$C$18:$C$47,$C85)+COUNTIF('261006'!$I$18:$I$47,$C85)</f>
        <v>0</v>
      </c>
      <c r="K85" s="17">
        <f>COUNTIF('261007'!$C$18:$C$47,$C85)+COUNTIF('261007'!$I$18:$I$47,$C85)</f>
        <v>0</v>
      </c>
      <c r="L85" s="17">
        <f>COUNTIF('261008'!$C$18:$C$47,$C85)+COUNTIF('261008'!$I$18:$I$47,$C85)</f>
        <v>0</v>
      </c>
      <c r="M85" s="17">
        <f>COUNTIF('261009'!$C$18:$C$47,$C85)+COUNTIF('261009'!$I$18:$I$47,$C85)</f>
        <v>0</v>
      </c>
      <c r="N85" s="17">
        <f>COUNTIF('261010'!$C$18:$C$47,$C85)+COUNTIF('261010'!$I$18:$I$47,$C85)</f>
        <v>0</v>
      </c>
      <c r="O85" s="17">
        <f>COUNTIF('261011'!$C$18:$C$47,$C85)+COUNTIF('261011'!$I$18:$I$47,$C85)</f>
        <v>0</v>
      </c>
      <c r="P85" s="17">
        <f>COUNTIF('261012'!$C$18:$C$47,$C85)+COUNTIF('261012'!$I$18:$I$47,$C85)</f>
        <v>0</v>
      </c>
      <c r="Q85" s="17">
        <f>COUNTIF('261013'!$C$18:$C$47,$C85)+COUNTIF('261013'!$I$18:$I$47,$C85)</f>
        <v>0</v>
      </c>
      <c r="R85" s="17">
        <f>COUNTIF('261014'!$C$18:$C$47,$C85)+COUNTIF('261014'!$I$18:$I$47,$C85)</f>
        <v>0</v>
      </c>
      <c r="S85" s="17">
        <f>COUNTIF('261015'!$C$18:$C$47,$C85)+COUNTIF('261015'!$I$18:$I$47,$C85)</f>
        <v>0</v>
      </c>
      <c r="T85" s="17">
        <f>COUNTIF('261016'!$C$18:$C$47,$C85)+COUNTIF('261016'!$I$18:$I$47,$C85)</f>
        <v>0</v>
      </c>
      <c r="U85" s="17">
        <f>COUNTIF('261017'!$C$18:$C$47,$C85)+COUNTIF('261017'!$I$18:$I$47,$C85)</f>
        <v>0</v>
      </c>
      <c r="V85" s="17">
        <f>COUNTIF('261018'!$C$18:$C$47,$C85)+COUNTIF('261018'!$I$18:$I$47,$C85)</f>
        <v>0</v>
      </c>
      <c r="W85" s="17">
        <f>COUNTIF('261019'!$C$18:$C$47,$C85)+COUNTIF('261019'!$I$18:$I$47,$C85)</f>
        <v>0</v>
      </c>
      <c r="X85" s="17">
        <f>COUNTIF('261020'!$C$18:$C$47,$C85)+COUNTIF('261020'!$I$18:$I$47,$C85)</f>
        <v>0</v>
      </c>
      <c r="Y85" s="17">
        <f>COUNTIF('261021'!$C$18:$C$47,$C85)+COUNTIF('261021'!$I$18:$I$47,$C85)</f>
        <v>0</v>
      </c>
      <c r="Z85" s="17">
        <f>COUNTIF('261022'!$C$18:$C$47,$C85)+COUNTIF('261022'!$I$18:$I$47,$C85)</f>
        <v>0</v>
      </c>
      <c r="AA85" s="17">
        <f>COUNTIF('261023'!$C$18:$C$47,$C85)+COUNTIF('261023'!$I$18:$I$47,$C85)</f>
        <v>0</v>
      </c>
      <c r="AB85" s="17">
        <f>COUNTIF('261024'!$C$18:$C$47,$C85)+COUNTIF('261024'!$I$18:$I$47,$C85)</f>
        <v>0</v>
      </c>
      <c r="AC85" s="17">
        <f>COUNTIF('261025'!$C$18:$C$47,$C85)+COUNTIF('261025'!$I$18:$I$47,$C85)</f>
        <v>0</v>
      </c>
      <c r="AD85" s="17">
        <f>COUNTIF('261026'!$C$18:$C$47,$C85)+COUNTIF('261026'!$I$18:$I$47,$C85)</f>
        <v>0</v>
      </c>
      <c r="AE85" s="17">
        <f>COUNTIF('261027'!$C$18:$C$47,$C85)+COUNTIF('261027'!$I$18:$I$47,$C85)</f>
        <v>0</v>
      </c>
      <c r="AF85" s="17">
        <f>COUNTIF('261028'!$C$18:$C$47,$C85)+COUNTIF('261028'!$I$18:$I$47,$C85)</f>
        <v>0</v>
      </c>
      <c r="AG85" s="17">
        <f>COUNTIF('261029'!$C$18:$C$47,$C85)+COUNTIF('261029'!$I$18:$I$47,$C85)</f>
        <v>0</v>
      </c>
      <c r="AH85" s="17">
        <f>COUNTIF('261030'!$C$18:$C$47,$C85)+COUNTIF('261030'!$I$18:$I$47,$C85)</f>
        <v>0</v>
      </c>
      <c r="AI85" s="17">
        <f>COUNTIF('261031'!$C$18:$C$47,$C85)+COUNTIF('261031'!$I$18:$I$47,$C85)</f>
        <v>0</v>
      </c>
      <c r="AJ85" s="108">
        <f t="shared" si="4"/>
        <v>0</v>
      </c>
      <c r="AL85" s="16"/>
      <c r="AM85" s="16"/>
    </row>
    <row r="86" spans="2:39" ht="20.100000000000001" customHeight="1" x14ac:dyDescent="0.3">
      <c r="B86" s="36">
        <f t="shared" si="2"/>
        <v>82</v>
      </c>
      <c r="C86" s="62"/>
      <c r="D86" s="62"/>
      <c r="E86" s="17">
        <f>COUNTIF('261001'!$C$18:$C$47,$C86)+COUNTIF('261001'!$I$18:$I$47,$C86)</f>
        <v>0</v>
      </c>
      <c r="F86" s="17">
        <f>COUNTIF('261002'!$C$18:$C$47,$C86)+COUNTIF('261002'!$I$18:$I$47,$C86)</f>
        <v>0</v>
      </c>
      <c r="G86" s="17">
        <f>COUNTIF('261003'!$C$18:$C$47,$C86)+COUNTIF('261003'!$I$18:$I$47,$C86)</f>
        <v>0</v>
      </c>
      <c r="H86" s="17">
        <f>COUNTIF('261004'!$C$18:$C$47,$C86)+COUNTIF('261004'!$I$18:$I$47,$C86)</f>
        <v>0</v>
      </c>
      <c r="I86" s="17">
        <f>COUNTIF('261005'!$C$18:$C$47,$C86)+COUNTIF('261005'!$I$18:$I$47,$C86)</f>
        <v>0</v>
      </c>
      <c r="J86" s="17">
        <f>COUNTIF('261006'!$C$18:$C$47,$C86)+COUNTIF('261006'!$I$18:$I$47,$C86)</f>
        <v>0</v>
      </c>
      <c r="K86" s="17">
        <f>COUNTIF('261007'!$C$18:$C$47,$C86)+COUNTIF('261007'!$I$18:$I$47,$C86)</f>
        <v>0</v>
      </c>
      <c r="L86" s="17">
        <f>COUNTIF('261008'!$C$18:$C$47,$C86)+COUNTIF('261008'!$I$18:$I$47,$C86)</f>
        <v>0</v>
      </c>
      <c r="M86" s="17">
        <f>COUNTIF('261009'!$C$18:$C$47,$C86)+COUNTIF('261009'!$I$18:$I$47,$C86)</f>
        <v>0</v>
      </c>
      <c r="N86" s="17">
        <f>COUNTIF('261010'!$C$18:$C$47,$C86)+COUNTIF('261010'!$I$18:$I$47,$C86)</f>
        <v>0</v>
      </c>
      <c r="O86" s="17">
        <f>COUNTIF('261011'!$C$18:$C$47,$C86)+COUNTIF('261011'!$I$18:$I$47,$C86)</f>
        <v>0</v>
      </c>
      <c r="P86" s="17">
        <f>COUNTIF('261012'!$C$18:$C$47,$C86)+COUNTIF('261012'!$I$18:$I$47,$C86)</f>
        <v>0</v>
      </c>
      <c r="Q86" s="17">
        <f>COUNTIF('261013'!$C$18:$C$47,$C86)+COUNTIF('261013'!$I$18:$I$47,$C86)</f>
        <v>0</v>
      </c>
      <c r="R86" s="17">
        <f>COUNTIF('261014'!$C$18:$C$47,$C86)+COUNTIF('261014'!$I$18:$I$47,$C86)</f>
        <v>0</v>
      </c>
      <c r="S86" s="17">
        <f>COUNTIF('261015'!$C$18:$C$47,$C86)+COUNTIF('261015'!$I$18:$I$47,$C86)</f>
        <v>0</v>
      </c>
      <c r="T86" s="17">
        <f>COUNTIF('261016'!$C$18:$C$47,$C86)+COUNTIF('261016'!$I$18:$I$47,$C86)</f>
        <v>0</v>
      </c>
      <c r="U86" s="17">
        <f>COUNTIF('261017'!$C$18:$C$47,$C86)+COUNTIF('261017'!$I$18:$I$47,$C86)</f>
        <v>0</v>
      </c>
      <c r="V86" s="17">
        <f>COUNTIF('261018'!$C$18:$C$47,$C86)+COUNTIF('261018'!$I$18:$I$47,$C86)</f>
        <v>0</v>
      </c>
      <c r="W86" s="17">
        <f>COUNTIF('261019'!$C$18:$C$47,$C86)+COUNTIF('261019'!$I$18:$I$47,$C86)</f>
        <v>0</v>
      </c>
      <c r="X86" s="17">
        <f>COUNTIF('261020'!$C$18:$C$47,$C86)+COUNTIF('261020'!$I$18:$I$47,$C86)</f>
        <v>0</v>
      </c>
      <c r="Y86" s="17">
        <f>COUNTIF('261021'!$C$18:$C$47,$C86)+COUNTIF('261021'!$I$18:$I$47,$C86)</f>
        <v>0</v>
      </c>
      <c r="Z86" s="17">
        <f>COUNTIF('261022'!$C$18:$C$47,$C86)+COUNTIF('261022'!$I$18:$I$47,$C86)</f>
        <v>0</v>
      </c>
      <c r="AA86" s="17">
        <f>COUNTIF('261023'!$C$18:$C$47,$C86)+COUNTIF('261023'!$I$18:$I$47,$C86)</f>
        <v>0</v>
      </c>
      <c r="AB86" s="17">
        <f>COUNTIF('261024'!$C$18:$C$47,$C86)+COUNTIF('261024'!$I$18:$I$47,$C86)</f>
        <v>0</v>
      </c>
      <c r="AC86" s="17">
        <f>COUNTIF('261025'!$C$18:$C$47,$C86)+COUNTIF('261025'!$I$18:$I$47,$C86)</f>
        <v>0</v>
      </c>
      <c r="AD86" s="17">
        <f>COUNTIF('261026'!$C$18:$C$47,$C86)+COUNTIF('261026'!$I$18:$I$47,$C86)</f>
        <v>0</v>
      </c>
      <c r="AE86" s="17">
        <f>COUNTIF('261027'!$C$18:$C$47,$C86)+COUNTIF('261027'!$I$18:$I$47,$C86)</f>
        <v>0</v>
      </c>
      <c r="AF86" s="17">
        <f>COUNTIF('261028'!$C$18:$C$47,$C86)+COUNTIF('261028'!$I$18:$I$47,$C86)</f>
        <v>0</v>
      </c>
      <c r="AG86" s="17">
        <f>COUNTIF('261029'!$C$18:$C$47,$C86)+COUNTIF('261029'!$I$18:$I$47,$C86)</f>
        <v>0</v>
      </c>
      <c r="AH86" s="17">
        <f>COUNTIF('261030'!$C$18:$C$47,$C86)+COUNTIF('261030'!$I$18:$I$47,$C86)</f>
        <v>0</v>
      </c>
      <c r="AI86" s="17">
        <f>COUNTIF('261031'!$C$18:$C$47,$C86)+COUNTIF('261031'!$I$18:$I$47,$C86)</f>
        <v>0</v>
      </c>
      <c r="AJ86" s="108">
        <f t="shared" si="4"/>
        <v>0</v>
      </c>
      <c r="AL86" s="16"/>
      <c r="AM86" s="16"/>
    </row>
    <row r="87" spans="2:39" ht="20.100000000000001" customHeight="1" x14ac:dyDescent="0.3">
      <c r="B87" s="36">
        <f t="shared" si="2"/>
        <v>83</v>
      </c>
      <c r="C87" s="62"/>
      <c r="D87" s="62"/>
      <c r="E87" s="17">
        <f>COUNTIF('261001'!$C$18:$C$47,$C87)+COUNTIF('261001'!$I$18:$I$47,$C87)</f>
        <v>0</v>
      </c>
      <c r="F87" s="17">
        <f>COUNTIF('261002'!$C$18:$C$47,$C87)+COUNTIF('261002'!$I$18:$I$47,$C87)</f>
        <v>0</v>
      </c>
      <c r="G87" s="17">
        <f>COUNTIF('261003'!$C$18:$C$47,$C87)+COUNTIF('261003'!$I$18:$I$47,$C87)</f>
        <v>0</v>
      </c>
      <c r="H87" s="17">
        <f>COUNTIF('261004'!$C$18:$C$47,$C87)+COUNTIF('261004'!$I$18:$I$47,$C87)</f>
        <v>0</v>
      </c>
      <c r="I87" s="17">
        <f>COUNTIF('261005'!$C$18:$C$47,$C87)+COUNTIF('261005'!$I$18:$I$47,$C87)</f>
        <v>0</v>
      </c>
      <c r="J87" s="17">
        <f>COUNTIF('261006'!$C$18:$C$47,$C87)+COUNTIF('261006'!$I$18:$I$47,$C87)</f>
        <v>0</v>
      </c>
      <c r="K87" s="17">
        <f>COUNTIF('261007'!$C$18:$C$47,$C87)+COUNTIF('261007'!$I$18:$I$47,$C87)</f>
        <v>0</v>
      </c>
      <c r="L87" s="17">
        <f>COUNTIF('261008'!$C$18:$C$47,$C87)+COUNTIF('261008'!$I$18:$I$47,$C87)</f>
        <v>0</v>
      </c>
      <c r="M87" s="17">
        <f>COUNTIF('261009'!$C$18:$C$47,$C87)+COUNTIF('261009'!$I$18:$I$47,$C87)</f>
        <v>0</v>
      </c>
      <c r="N87" s="17">
        <f>COUNTIF('261010'!$C$18:$C$47,$C87)+COUNTIF('261010'!$I$18:$I$47,$C87)</f>
        <v>0</v>
      </c>
      <c r="O87" s="17">
        <f>COUNTIF('261011'!$C$18:$C$47,$C87)+COUNTIF('261011'!$I$18:$I$47,$C87)</f>
        <v>0</v>
      </c>
      <c r="P87" s="17">
        <f>COUNTIF('261012'!$C$18:$C$47,$C87)+COUNTIF('261012'!$I$18:$I$47,$C87)</f>
        <v>0</v>
      </c>
      <c r="Q87" s="17">
        <f>COUNTIF('261013'!$C$18:$C$47,$C87)+COUNTIF('261013'!$I$18:$I$47,$C87)</f>
        <v>0</v>
      </c>
      <c r="R87" s="17">
        <f>COUNTIF('261014'!$C$18:$C$47,$C87)+COUNTIF('261014'!$I$18:$I$47,$C87)</f>
        <v>0</v>
      </c>
      <c r="S87" s="17">
        <f>COUNTIF('261015'!$C$18:$C$47,$C87)+COUNTIF('261015'!$I$18:$I$47,$C87)</f>
        <v>0</v>
      </c>
      <c r="T87" s="17">
        <f>COUNTIF('261016'!$C$18:$C$47,$C87)+COUNTIF('261016'!$I$18:$I$47,$C87)</f>
        <v>0</v>
      </c>
      <c r="U87" s="17">
        <f>COUNTIF('261017'!$C$18:$C$47,$C87)+COUNTIF('261017'!$I$18:$I$47,$C87)</f>
        <v>0</v>
      </c>
      <c r="V87" s="17">
        <f>COUNTIF('261018'!$C$18:$C$47,$C87)+COUNTIF('261018'!$I$18:$I$47,$C87)</f>
        <v>0</v>
      </c>
      <c r="W87" s="17">
        <f>COUNTIF('261019'!$C$18:$C$47,$C87)+COUNTIF('261019'!$I$18:$I$47,$C87)</f>
        <v>0</v>
      </c>
      <c r="X87" s="17">
        <f>COUNTIF('261020'!$C$18:$C$47,$C87)+COUNTIF('261020'!$I$18:$I$47,$C87)</f>
        <v>0</v>
      </c>
      <c r="Y87" s="17">
        <f>COUNTIF('261021'!$C$18:$C$47,$C87)+COUNTIF('261021'!$I$18:$I$47,$C87)</f>
        <v>0</v>
      </c>
      <c r="Z87" s="17">
        <f>COUNTIF('261022'!$C$18:$C$47,$C87)+COUNTIF('261022'!$I$18:$I$47,$C87)</f>
        <v>0</v>
      </c>
      <c r="AA87" s="17">
        <f>COUNTIF('261023'!$C$18:$C$47,$C87)+COUNTIF('261023'!$I$18:$I$47,$C87)</f>
        <v>0</v>
      </c>
      <c r="AB87" s="17">
        <f>COUNTIF('261024'!$C$18:$C$47,$C87)+COUNTIF('261024'!$I$18:$I$47,$C87)</f>
        <v>0</v>
      </c>
      <c r="AC87" s="17">
        <f>COUNTIF('261025'!$C$18:$C$47,$C87)+COUNTIF('261025'!$I$18:$I$47,$C87)</f>
        <v>0</v>
      </c>
      <c r="AD87" s="17">
        <f>COUNTIF('261026'!$C$18:$C$47,$C87)+COUNTIF('261026'!$I$18:$I$47,$C87)</f>
        <v>0</v>
      </c>
      <c r="AE87" s="17">
        <f>COUNTIF('261027'!$C$18:$C$47,$C87)+COUNTIF('261027'!$I$18:$I$47,$C87)</f>
        <v>0</v>
      </c>
      <c r="AF87" s="17">
        <f>COUNTIF('261028'!$C$18:$C$47,$C87)+COUNTIF('261028'!$I$18:$I$47,$C87)</f>
        <v>0</v>
      </c>
      <c r="AG87" s="17">
        <f>COUNTIF('261029'!$C$18:$C$47,$C87)+COUNTIF('261029'!$I$18:$I$47,$C87)</f>
        <v>0</v>
      </c>
      <c r="AH87" s="17">
        <f>COUNTIF('261030'!$C$18:$C$47,$C87)+COUNTIF('261030'!$I$18:$I$47,$C87)</f>
        <v>0</v>
      </c>
      <c r="AI87" s="17">
        <f>COUNTIF('261031'!$C$18:$C$47,$C87)+COUNTIF('261031'!$I$18:$I$47,$C87)</f>
        <v>0</v>
      </c>
      <c r="AJ87" s="108">
        <f t="shared" si="4"/>
        <v>0</v>
      </c>
      <c r="AL87" s="16"/>
      <c r="AM87" s="16"/>
    </row>
    <row r="88" spans="2:39" ht="20.100000000000001" customHeight="1" x14ac:dyDescent="0.3">
      <c r="B88" s="36">
        <f t="shared" si="2"/>
        <v>84</v>
      </c>
      <c r="C88" s="62"/>
      <c r="D88" s="62"/>
      <c r="E88" s="17">
        <f>COUNTIF('261001'!$C$18:$C$47,$C88)+COUNTIF('261001'!$I$18:$I$47,$C88)</f>
        <v>0</v>
      </c>
      <c r="F88" s="17">
        <f>COUNTIF('261002'!$C$18:$C$47,$C88)+COUNTIF('261002'!$I$18:$I$47,$C88)</f>
        <v>0</v>
      </c>
      <c r="G88" s="17">
        <f>COUNTIF('261003'!$C$18:$C$47,$C88)+COUNTIF('261003'!$I$18:$I$47,$C88)</f>
        <v>0</v>
      </c>
      <c r="H88" s="17">
        <f>COUNTIF('261004'!$C$18:$C$47,$C88)+COUNTIF('261004'!$I$18:$I$47,$C88)</f>
        <v>0</v>
      </c>
      <c r="I88" s="17">
        <f>COUNTIF('261005'!$C$18:$C$47,$C88)+COUNTIF('261005'!$I$18:$I$47,$C88)</f>
        <v>0</v>
      </c>
      <c r="J88" s="17">
        <f>COUNTIF('261006'!$C$18:$C$47,$C88)+COUNTIF('261006'!$I$18:$I$47,$C88)</f>
        <v>0</v>
      </c>
      <c r="K88" s="17">
        <f>COUNTIF('261007'!$C$18:$C$47,$C88)+COUNTIF('261007'!$I$18:$I$47,$C88)</f>
        <v>0</v>
      </c>
      <c r="L88" s="17">
        <f>COUNTIF('261008'!$C$18:$C$47,$C88)+COUNTIF('261008'!$I$18:$I$47,$C88)</f>
        <v>0</v>
      </c>
      <c r="M88" s="17">
        <f>COUNTIF('261009'!$C$18:$C$47,$C88)+COUNTIF('261009'!$I$18:$I$47,$C88)</f>
        <v>0</v>
      </c>
      <c r="N88" s="17">
        <f>COUNTIF('261010'!$C$18:$C$47,$C88)+COUNTIF('261010'!$I$18:$I$47,$C88)</f>
        <v>0</v>
      </c>
      <c r="O88" s="17">
        <f>COUNTIF('261011'!$C$18:$C$47,$C88)+COUNTIF('261011'!$I$18:$I$47,$C88)</f>
        <v>0</v>
      </c>
      <c r="P88" s="17">
        <f>COUNTIF('261012'!$C$18:$C$47,$C88)+COUNTIF('261012'!$I$18:$I$47,$C88)</f>
        <v>0</v>
      </c>
      <c r="Q88" s="17">
        <f>COUNTIF('261013'!$C$18:$C$47,$C88)+COUNTIF('261013'!$I$18:$I$47,$C88)</f>
        <v>0</v>
      </c>
      <c r="R88" s="17">
        <f>COUNTIF('261014'!$C$18:$C$47,$C88)+COUNTIF('261014'!$I$18:$I$47,$C88)</f>
        <v>0</v>
      </c>
      <c r="S88" s="17">
        <f>COUNTIF('261015'!$C$18:$C$47,$C88)+COUNTIF('261015'!$I$18:$I$47,$C88)</f>
        <v>0</v>
      </c>
      <c r="T88" s="17">
        <f>COUNTIF('261016'!$C$18:$C$47,$C88)+COUNTIF('261016'!$I$18:$I$47,$C88)</f>
        <v>0</v>
      </c>
      <c r="U88" s="17">
        <f>COUNTIF('261017'!$C$18:$C$47,$C88)+COUNTIF('261017'!$I$18:$I$47,$C88)</f>
        <v>0</v>
      </c>
      <c r="V88" s="17">
        <f>COUNTIF('261018'!$C$18:$C$47,$C88)+COUNTIF('261018'!$I$18:$I$47,$C88)</f>
        <v>0</v>
      </c>
      <c r="W88" s="17">
        <f>COUNTIF('261019'!$C$18:$C$47,$C88)+COUNTIF('261019'!$I$18:$I$47,$C88)</f>
        <v>0</v>
      </c>
      <c r="X88" s="17">
        <f>COUNTIF('261020'!$C$18:$C$47,$C88)+COUNTIF('261020'!$I$18:$I$47,$C88)</f>
        <v>0</v>
      </c>
      <c r="Y88" s="17">
        <f>COUNTIF('261021'!$C$18:$C$47,$C88)+COUNTIF('261021'!$I$18:$I$47,$C88)</f>
        <v>0</v>
      </c>
      <c r="Z88" s="17">
        <f>COUNTIF('261022'!$C$18:$C$47,$C88)+COUNTIF('261022'!$I$18:$I$47,$C88)</f>
        <v>0</v>
      </c>
      <c r="AA88" s="17">
        <f>COUNTIF('261023'!$C$18:$C$47,$C88)+COUNTIF('261023'!$I$18:$I$47,$C88)</f>
        <v>0</v>
      </c>
      <c r="AB88" s="17">
        <f>COUNTIF('261024'!$C$18:$C$47,$C88)+COUNTIF('261024'!$I$18:$I$47,$C88)</f>
        <v>0</v>
      </c>
      <c r="AC88" s="17">
        <f>COUNTIF('261025'!$C$18:$C$47,$C88)+COUNTIF('261025'!$I$18:$I$47,$C88)</f>
        <v>0</v>
      </c>
      <c r="AD88" s="17">
        <f>COUNTIF('261026'!$C$18:$C$47,$C88)+COUNTIF('261026'!$I$18:$I$47,$C88)</f>
        <v>0</v>
      </c>
      <c r="AE88" s="17">
        <f>COUNTIF('261027'!$C$18:$C$47,$C88)+COUNTIF('261027'!$I$18:$I$47,$C88)</f>
        <v>0</v>
      </c>
      <c r="AF88" s="17">
        <f>COUNTIF('261028'!$C$18:$C$47,$C88)+COUNTIF('261028'!$I$18:$I$47,$C88)</f>
        <v>0</v>
      </c>
      <c r="AG88" s="17">
        <f>COUNTIF('261029'!$C$18:$C$47,$C88)+COUNTIF('261029'!$I$18:$I$47,$C88)</f>
        <v>0</v>
      </c>
      <c r="AH88" s="17">
        <f>COUNTIF('261030'!$C$18:$C$47,$C88)+COUNTIF('261030'!$I$18:$I$47,$C88)</f>
        <v>0</v>
      </c>
      <c r="AI88" s="17">
        <f>COUNTIF('261031'!$C$18:$C$47,$C88)+COUNTIF('261031'!$I$18:$I$47,$C88)</f>
        <v>0</v>
      </c>
      <c r="AJ88" s="108">
        <f t="shared" si="4"/>
        <v>0</v>
      </c>
      <c r="AL88" s="16"/>
      <c r="AM88" s="16"/>
    </row>
    <row r="89" spans="2:39" ht="20.100000000000001" customHeight="1" x14ac:dyDescent="0.3">
      <c r="B89" s="36">
        <f t="shared" si="2"/>
        <v>85</v>
      </c>
      <c r="C89" s="62"/>
      <c r="D89" s="62"/>
      <c r="E89" s="17">
        <f>COUNTIF('261001'!$C$18:$C$47,$C89)+COUNTIF('261001'!$I$18:$I$47,$C89)</f>
        <v>0</v>
      </c>
      <c r="F89" s="17">
        <f>COUNTIF('261002'!$C$18:$C$47,$C89)+COUNTIF('261002'!$I$18:$I$47,$C89)</f>
        <v>0</v>
      </c>
      <c r="G89" s="17">
        <f>COUNTIF('261003'!$C$18:$C$47,$C89)+COUNTIF('261003'!$I$18:$I$47,$C89)</f>
        <v>0</v>
      </c>
      <c r="H89" s="17">
        <f>COUNTIF('261004'!$C$18:$C$47,$C89)+COUNTIF('261004'!$I$18:$I$47,$C89)</f>
        <v>0</v>
      </c>
      <c r="I89" s="17">
        <f>COUNTIF('261005'!$C$18:$C$47,$C89)+COUNTIF('261005'!$I$18:$I$47,$C89)</f>
        <v>0</v>
      </c>
      <c r="J89" s="17">
        <f>COUNTIF('261006'!$C$18:$C$47,$C89)+COUNTIF('261006'!$I$18:$I$47,$C89)</f>
        <v>0</v>
      </c>
      <c r="K89" s="17">
        <f>COUNTIF('261007'!$C$18:$C$47,$C89)+COUNTIF('261007'!$I$18:$I$47,$C89)</f>
        <v>0</v>
      </c>
      <c r="L89" s="17">
        <f>COUNTIF('261008'!$C$18:$C$47,$C89)+COUNTIF('261008'!$I$18:$I$47,$C89)</f>
        <v>0</v>
      </c>
      <c r="M89" s="17">
        <f>COUNTIF('261009'!$C$18:$C$47,$C89)+COUNTIF('261009'!$I$18:$I$47,$C89)</f>
        <v>0</v>
      </c>
      <c r="N89" s="17">
        <f>COUNTIF('261010'!$C$18:$C$47,$C89)+COUNTIF('261010'!$I$18:$I$47,$C89)</f>
        <v>0</v>
      </c>
      <c r="O89" s="17">
        <f>COUNTIF('261011'!$C$18:$C$47,$C89)+COUNTIF('261011'!$I$18:$I$47,$C89)</f>
        <v>0</v>
      </c>
      <c r="P89" s="17">
        <f>COUNTIF('261012'!$C$18:$C$47,$C89)+COUNTIF('261012'!$I$18:$I$47,$C89)</f>
        <v>0</v>
      </c>
      <c r="Q89" s="17">
        <f>COUNTIF('261013'!$C$18:$C$47,$C89)+COUNTIF('261013'!$I$18:$I$47,$C89)</f>
        <v>0</v>
      </c>
      <c r="R89" s="17">
        <f>COUNTIF('261014'!$C$18:$C$47,$C89)+COUNTIF('261014'!$I$18:$I$47,$C89)</f>
        <v>0</v>
      </c>
      <c r="S89" s="17">
        <f>COUNTIF('261015'!$C$18:$C$47,$C89)+COUNTIF('261015'!$I$18:$I$47,$C89)</f>
        <v>0</v>
      </c>
      <c r="T89" s="17">
        <f>COUNTIF('261016'!$C$18:$C$47,$C89)+COUNTIF('261016'!$I$18:$I$47,$C89)</f>
        <v>0</v>
      </c>
      <c r="U89" s="17">
        <f>COUNTIF('261017'!$C$18:$C$47,$C89)+COUNTIF('261017'!$I$18:$I$47,$C89)</f>
        <v>0</v>
      </c>
      <c r="V89" s="17">
        <f>COUNTIF('261018'!$C$18:$C$47,$C89)+COUNTIF('261018'!$I$18:$I$47,$C89)</f>
        <v>0</v>
      </c>
      <c r="W89" s="17">
        <f>COUNTIF('261019'!$C$18:$C$47,$C89)+COUNTIF('261019'!$I$18:$I$47,$C89)</f>
        <v>0</v>
      </c>
      <c r="X89" s="17">
        <f>COUNTIF('261020'!$C$18:$C$47,$C89)+COUNTIF('261020'!$I$18:$I$47,$C89)</f>
        <v>0</v>
      </c>
      <c r="Y89" s="17">
        <f>COUNTIF('261021'!$C$18:$C$47,$C89)+COUNTIF('261021'!$I$18:$I$47,$C89)</f>
        <v>0</v>
      </c>
      <c r="Z89" s="17">
        <f>COUNTIF('261022'!$C$18:$C$47,$C89)+COUNTIF('261022'!$I$18:$I$47,$C89)</f>
        <v>0</v>
      </c>
      <c r="AA89" s="17">
        <f>COUNTIF('261023'!$C$18:$C$47,$C89)+COUNTIF('261023'!$I$18:$I$47,$C89)</f>
        <v>0</v>
      </c>
      <c r="AB89" s="17">
        <f>COUNTIF('261024'!$C$18:$C$47,$C89)+COUNTIF('261024'!$I$18:$I$47,$C89)</f>
        <v>0</v>
      </c>
      <c r="AC89" s="17">
        <f>COUNTIF('261025'!$C$18:$C$47,$C89)+COUNTIF('261025'!$I$18:$I$47,$C89)</f>
        <v>0</v>
      </c>
      <c r="AD89" s="17">
        <f>COUNTIF('261026'!$C$18:$C$47,$C89)+COUNTIF('261026'!$I$18:$I$47,$C89)</f>
        <v>0</v>
      </c>
      <c r="AE89" s="17">
        <f>COUNTIF('261027'!$C$18:$C$47,$C89)+COUNTIF('261027'!$I$18:$I$47,$C89)</f>
        <v>0</v>
      </c>
      <c r="AF89" s="17">
        <f>COUNTIF('261028'!$C$18:$C$47,$C89)+COUNTIF('261028'!$I$18:$I$47,$C89)</f>
        <v>0</v>
      </c>
      <c r="AG89" s="17">
        <f>COUNTIF('261029'!$C$18:$C$47,$C89)+COUNTIF('261029'!$I$18:$I$47,$C89)</f>
        <v>0</v>
      </c>
      <c r="AH89" s="17">
        <f>COUNTIF('261030'!$C$18:$C$47,$C89)+COUNTIF('261030'!$I$18:$I$47,$C89)</f>
        <v>0</v>
      </c>
      <c r="AI89" s="17">
        <f>COUNTIF('261031'!$C$18:$C$47,$C89)+COUNTIF('261031'!$I$18:$I$47,$C89)</f>
        <v>0</v>
      </c>
      <c r="AJ89" s="108">
        <f t="shared" ref="AJ89:AJ145" si="5">SUM(E89:AI89)</f>
        <v>0</v>
      </c>
      <c r="AL89" s="16"/>
      <c r="AM89" s="16"/>
    </row>
    <row r="90" spans="2:39" ht="20.100000000000001" customHeight="1" x14ac:dyDescent="0.3">
      <c r="B90" s="36">
        <f t="shared" si="2"/>
        <v>86</v>
      </c>
      <c r="C90" s="62"/>
      <c r="D90" s="62"/>
      <c r="E90" s="17">
        <f>COUNTIF('261001'!$C$18:$C$47,$C90)+COUNTIF('261001'!$I$18:$I$47,$C90)</f>
        <v>0</v>
      </c>
      <c r="F90" s="17">
        <f>COUNTIF('261002'!$C$18:$C$47,$C90)+COUNTIF('261002'!$I$18:$I$47,$C90)</f>
        <v>0</v>
      </c>
      <c r="G90" s="17">
        <f>COUNTIF('261003'!$C$18:$C$47,$C90)+COUNTIF('261003'!$I$18:$I$47,$C90)</f>
        <v>0</v>
      </c>
      <c r="H90" s="17">
        <f>COUNTIF('261004'!$C$18:$C$47,$C90)+COUNTIF('261004'!$I$18:$I$47,$C90)</f>
        <v>0</v>
      </c>
      <c r="I90" s="17">
        <f>COUNTIF('261005'!$C$18:$C$47,$C90)+COUNTIF('261005'!$I$18:$I$47,$C90)</f>
        <v>0</v>
      </c>
      <c r="J90" s="17">
        <f>COUNTIF('261006'!$C$18:$C$47,$C90)+COUNTIF('261006'!$I$18:$I$47,$C90)</f>
        <v>0</v>
      </c>
      <c r="K90" s="17">
        <f>COUNTIF('261007'!$C$18:$C$47,$C90)+COUNTIF('261007'!$I$18:$I$47,$C90)</f>
        <v>0</v>
      </c>
      <c r="L90" s="17">
        <f>COUNTIF('261008'!$C$18:$C$47,$C90)+COUNTIF('261008'!$I$18:$I$47,$C90)</f>
        <v>0</v>
      </c>
      <c r="M90" s="17">
        <f>COUNTIF('261009'!$C$18:$C$47,$C90)+COUNTIF('261009'!$I$18:$I$47,$C90)</f>
        <v>0</v>
      </c>
      <c r="N90" s="17">
        <f>COUNTIF('261010'!$C$18:$C$47,$C90)+COUNTIF('261010'!$I$18:$I$47,$C90)</f>
        <v>0</v>
      </c>
      <c r="O90" s="17">
        <f>COUNTIF('261011'!$C$18:$C$47,$C90)+COUNTIF('261011'!$I$18:$I$47,$C90)</f>
        <v>0</v>
      </c>
      <c r="P90" s="17">
        <f>COUNTIF('261012'!$C$18:$C$47,$C90)+COUNTIF('261012'!$I$18:$I$47,$C90)</f>
        <v>0</v>
      </c>
      <c r="Q90" s="17">
        <f>COUNTIF('261013'!$C$18:$C$47,$C90)+COUNTIF('261013'!$I$18:$I$47,$C90)</f>
        <v>0</v>
      </c>
      <c r="R90" s="17">
        <f>COUNTIF('261014'!$C$18:$C$47,$C90)+COUNTIF('261014'!$I$18:$I$47,$C90)</f>
        <v>0</v>
      </c>
      <c r="S90" s="17">
        <f>COUNTIF('261015'!$C$18:$C$47,$C90)+COUNTIF('261015'!$I$18:$I$47,$C90)</f>
        <v>0</v>
      </c>
      <c r="T90" s="17">
        <f>COUNTIF('261016'!$C$18:$C$47,$C90)+COUNTIF('261016'!$I$18:$I$47,$C90)</f>
        <v>0</v>
      </c>
      <c r="U90" s="17">
        <f>COUNTIF('261017'!$C$18:$C$47,$C90)+COUNTIF('261017'!$I$18:$I$47,$C90)</f>
        <v>0</v>
      </c>
      <c r="V90" s="17">
        <f>COUNTIF('261018'!$C$18:$C$47,$C90)+COUNTIF('261018'!$I$18:$I$47,$C90)</f>
        <v>0</v>
      </c>
      <c r="W90" s="17">
        <f>COUNTIF('261019'!$C$18:$C$47,$C90)+COUNTIF('261019'!$I$18:$I$47,$C90)</f>
        <v>0</v>
      </c>
      <c r="X90" s="17">
        <f>COUNTIF('261020'!$C$18:$C$47,$C90)+COUNTIF('261020'!$I$18:$I$47,$C90)</f>
        <v>0</v>
      </c>
      <c r="Y90" s="17">
        <f>COUNTIF('261021'!$C$18:$C$47,$C90)+COUNTIF('261021'!$I$18:$I$47,$C90)</f>
        <v>0</v>
      </c>
      <c r="Z90" s="17">
        <f>COUNTIF('261022'!$C$18:$C$47,$C90)+COUNTIF('261022'!$I$18:$I$47,$C90)</f>
        <v>0</v>
      </c>
      <c r="AA90" s="17">
        <f>COUNTIF('261023'!$C$18:$C$47,$C90)+COUNTIF('261023'!$I$18:$I$47,$C90)</f>
        <v>0</v>
      </c>
      <c r="AB90" s="17">
        <f>COUNTIF('261024'!$C$18:$C$47,$C90)+COUNTIF('261024'!$I$18:$I$47,$C90)</f>
        <v>0</v>
      </c>
      <c r="AC90" s="17">
        <f>COUNTIF('261025'!$C$18:$C$47,$C90)+COUNTIF('261025'!$I$18:$I$47,$C90)</f>
        <v>0</v>
      </c>
      <c r="AD90" s="17">
        <f>COUNTIF('261026'!$C$18:$C$47,$C90)+COUNTIF('261026'!$I$18:$I$47,$C90)</f>
        <v>0</v>
      </c>
      <c r="AE90" s="17">
        <f>COUNTIF('261027'!$C$18:$C$47,$C90)+COUNTIF('261027'!$I$18:$I$47,$C90)</f>
        <v>0</v>
      </c>
      <c r="AF90" s="17">
        <f>COUNTIF('261028'!$C$18:$C$47,$C90)+COUNTIF('261028'!$I$18:$I$47,$C90)</f>
        <v>0</v>
      </c>
      <c r="AG90" s="17">
        <f>COUNTIF('261029'!$C$18:$C$47,$C90)+COUNTIF('261029'!$I$18:$I$47,$C90)</f>
        <v>0</v>
      </c>
      <c r="AH90" s="17">
        <f>COUNTIF('261030'!$C$18:$C$47,$C90)+COUNTIF('261030'!$I$18:$I$47,$C90)</f>
        <v>0</v>
      </c>
      <c r="AI90" s="17">
        <f>COUNTIF('261031'!$C$18:$C$47,$C90)+COUNTIF('261031'!$I$18:$I$47,$C90)</f>
        <v>0</v>
      </c>
      <c r="AJ90" s="108">
        <f t="shared" si="5"/>
        <v>0</v>
      </c>
      <c r="AL90" s="16"/>
      <c r="AM90" s="16"/>
    </row>
    <row r="91" spans="2:39" ht="20.100000000000001" customHeight="1" x14ac:dyDescent="0.3">
      <c r="B91" s="36">
        <f t="shared" si="2"/>
        <v>87</v>
      </c>
      <c r="C91" s="62"/>
      <c r="D91" s="62"/>
      <c r="E91" s="17">
        <f>COUNTIF('261001'!$C$18:$C$47,$C91)+COUNTIF('261001'!$I$18:$I$47,$C91)</f>
        <v>0</v>
      </c>
      <c r="F91" s="17">
        <f>COUNTIF('261002'!$C$18:$C$47,$C91)+COUNTIF('261002'!$I$18:$I$47,$C91)</f>
        <v>0</v>
      </c>
      <c r="G91" s="17">
        <f>COUNTIF('261003'!$C$18:$C$47,$C91)+COUNTIF('261003'!$I$18:$I$47,$C91)</f>
        <v>0</v>
      </c>
      <c r="H91" s="17">
        <f>COUNTIF('261004'!$C$18:$C$47,$C91)+COUNTIF('261004'!$I$18:$I$47,$C91)</f>
        <v>0</v>
      </c>
      <c r="I91" s="17">
        <f>COUNTIF('261005'!$C$18:$C$47,$C91)+COUNTIF('261005'!$I$18:$I$47,$C91)</f>
        <v>0</v>
      </c>
      <c r="J91" s="17">
        <f>COUNTIF('261006'!$C$18:$C$47,$C91)+COUNTIF('261006'!$I$18:$I$47,$C91)</f>
        <v>0</v>
      </c>
      <c r="K91" s="17">
        <f>COUNTIF('261007'!$C$18:$C$47,$C91)+COUNTIF('261007'!$I$18:$I$47,$C91)</f>
        <v>0</v>
      </c>
      <c r="L91" s="17">
        <f>COUNTIF('261008'!$C$18:$C$47,$C91)+COUNTIF('261008'!$I$18:$I$47,$C91)</f>
        <v>0</v>
      </c>
      <c r="M91" s="17">
        <f>COUNTIF('261009'!$C$18:$C$47,$C91)+COUNTIF('261009'!$I$18:$I$47,$C91)</f>
        <v>0</v>
      </c>
      <c r="N91" s="17">
        <f>COUNTIF('261010'!$C$18:$C$47,$C91)+COUNTIF('261010'!$I$18:$I$47,$C91)</f>
        <v>0</v>
      </c>
      <c r="O91" s="17">
        <f>COUNTIF('261011'!$C$18:$C$47,$C91)+COUNTIF('261011'!$I$18:$I$47,$C91)</f>
        <v>0</v>
      </c>
      <c r="P91" s="17">
        <f>COUNTIF('261012'!$C$18:$C$47,$C91)+COUNTIF('261012'!$I$18:$I$47,$C91)</f>
        <v>0</v>
      </c>
      <c r="Q91" s="17">
        <f>COUNTIF('261013'!$C$18:$C$47,$C91)+COUNTIF('261013'!$I$18:$I$47,$C91)</f>
        <v>0</v>
      </c>
      <c r="R91" s="17">
        <f>COUNTIF('261014'!$C$18:$C$47,$C91)+COUNTIF('261014'!$I$18:$I$47,$C91)</f>
        <v>0</v>
      </c>
      <c r="S91" s="17">
        <f>COUNTIF('261015'!$C$18:$C$47,$C91)+COUNTIF('261015'!$I$18:$I$47,$C91)</f>
        <v>0</v>
      </c>
      <c r="T91" s="17">
        <f>COUNTIF('261016'!$C$18:$C$47,$C91)+COUNTIF('261016'!$I$18:$I$47,$C91)</f>
        <v>0</v>
      </c>
      <c r="U91" s="17">
        <f>COUNTIF('261017'!$C$18:$C$47,$C91)+COUNTIF('261017'!$I$18:$I$47,$C91)</f>
        <v>0</v>
      </c>
      <c r="V91" s="17">
        <f>COUNTIF('261018'!$C$18:$C$47,$C91)+COUNTIF('261018'!$I$18:$I$47,$C91)</f>
        <v>0</v>
      </c>
      <c r="W91" s="17">
        <f>COUNTIF('261019'!$C$18:$C$47,$C91)+COUNTIF('261019'!$I$18:$I$47,$C91)</f>
        <v>0</v>
      </c>
      <c r="X91" s="17">
        <f>COUNTIF('261020'!$C$18:$C$47,$C91)+COUNTIF('261020'!$I$18:$I$47,$C91)</f>
        <v>0</v>
      </c>
      <c r="Y91" s="17">
        <f>COUNTIF('261021'!$C$18:$C$47,$C91)+COUNTIF('261021'!$I$18:$I$47,$C91)</f>
        <v>0</v>
      </c>
      <c r="Z91" s="17">
        <f>COUNTIF('261022'!$C$18:$C$47,$C91)+COUNTIF('261022'!$I$18:$I$47,$C91)</f>
        <v>0</v>
      </c>
      <c r="AA91" s="17">
        <f>COUNTIF('261023'!$C$18:$C$47,$C91)+COUNTIF('261023'!$I$18:$I$47,$C91)</f>
        <v>0</v>
      </c>
      <c r="AB91" s="17">
        <f>COUNTIF('261024'!$C$18:$C$47,$C91)+COUNTIF('261024'!$I$18:$I$47,$C91)</f>
        <v>0</v>
      </c>
      <c r="AC91" s="17">
        <f>COUNTIF('261025'!$C$18:$C$47,$C91)+COUNTIF('261025'!$I$18:$I$47,$C91)</f>
        <v>0</v>
      </c>
      <c r="AD91" s="17">
        <f>COUNTIF('261026'!$C$18:$C$47,$C91)+COUNTIF('261026'!$I$18:$I$47,$C91)</f>
        <v>0</v>
      </c>
      <c r="AE91" s="17">
        <f>COUNTIF('261027'!$C$18:$C$47,$C91)+COUNTIF('261027'!$I$18:$I$47,$C91)</f>
        <v>0</v>
      </c>
      <c r="AF91" s="17">
        <f>COUNTIF('261028'!$C$18:$C$47,$C91)+COUNTIF('261028'!$I$18:$I$47,$C91)</f>
        <v>0</v>
      </c>
      <c r="AG91" s="17">
        <f>COUNTIF('261029'!$C$18:$C$47,$C91)+COUNTIF('261029'!$I$18:$I$47,$C91)</f>
        <v>0</v>
      </c>
      <c r="AH91" s="17">
        <f>COUNTIF('261030'!$C$18:$C$47,$C91)+COUNTIF('261030'!$I$18:$I$47,$C91)</f>
        <v>0</v>
      </c>
      <c r="AI91" s="17">
        <f>COUNTIF('261031'!$C$18:$C$47,$C91)+COUNTIF('261031'!$I$18:$I$47,$C91)</f>
        <v>0</v>
      </c>
      <c r="AJ91" s="108">
        <f t="shared" si="5"/>
        <v>0</v>
      </c>
      <c r="AL91" s="16"/>
      <c r="AM91" s="16"/>
    </row>
    <row r="92" spans="2:39" ht="20.100000000000001" customHeight="1" x14ac:dyDescent="0.3">
      <c r="B92" s="36">
        <f t="shared" si="2"/>
        <v>88</v>
      </c>
      <c r="C92" s="62"/>
      <c r="D92" s="62"/>
      <c r="E92" s="17">
        <f>COUNTIF('261001'!$C$18:$C$47,$C92)+COUNTIF('261001'!$I$18:$I$47,$C92)</f>
        <v>0</v>
      </c>
      <c r="F92" s="17">
        <f>COUNTIF('261002'!$C$18:$C$47,$C92)+COUNTIF('261002'!$I$18:$I$47,$C92)</f>
        <v>0</v>
      </c>
      <c r="G92" s="17">
        <f>COUNTIF('261003'!$C$18:$C$47,$C92)+COUNTIF('261003'!$I$18:$I$47,$C92)</f>
        <v>0</v>
      </c>
      <c r="H92" s="17">
        <f>COUNTIF('261004'!$C$18:$C$47,$C92)+COUNTIF('261004'!$I$18:$I$47,$C92)</f>
        <v>0</v>
      </c>
      <c r="I92" s="17">
        <f>COUNTIF('261005'!$C$18:$C$47,$C92)+COUNTIF('261005'!$I$18:$I$47,$C92)</f>
        <v>0</v>
      </c>
      <c r="J92" s="17">
        <f>COUNTIF('261006'!$C$18:$C$47,$C92)+COUNTIF('261006'!$I$18:$I$47,$C92)</f>
        <v>0</v>
      </c>
      <c r="K92" s="17">
        <f>COUNTIF('261007'!$C$18:$C$47,$C92)+COUNTIF('261007'!$I$18:$I$47,$C92)</f>
        <v>0</v>
      </c>
      <c r="L92" s="17">
        <f>COUNTIF('261008'!$C$18:$C$47,$C92)+COUNTIF('261008'!$I$18:$I$47,$C92)</f>
        <v>0</v>
      </c>
      <c r="M92" s="17">
        <f>COUNTIF('261009'!$C$18:$C$47,$C92)+COUNTIF('261009'!$I$18:$I$47,$C92)</f>
        <v>0</v>
      </c>
      <c r="N92" s="17">
        <f>COUNTIF('261010'!$C$18:$C$47,$C92)+COUNTIF('261010'!$I$18:$I$47,$C92)</f>
        <v>0</v>
      </c>
      <c r="O92" s="17">
        <f>COUNTIF('261011'!$C$18:$C$47,$C92)+COUNTIF('261011'!$I$18:$I$47,$C92)</f>
        <v>0</v>
      </c>
      <c r="P92" s="17">
        <f>COUNTIF('261012'!$C$18:$C$47,$C92)+COUNTIF('261012'!$I$18:$I$47,$C92)</f>
        <v>0</v>
      </c>
      <c r="Q92" s="17">
        <f>COUNTIF('261013'!$C$18:$C$47,$C92)+COUNTIF('261013'!$I$18:$I$47,$C92)</f>
        <v>0</v>
      </c>
      <c r="R92" s="17">
        <f>COUNTIF('261014'!$C$18:$C$47,$C92)+COUNTIF('261014'!$I$18:$I$47,$C92)</f>
        <v>0</v>
      </c>
      <c r="S92" s="17">
        <f>COUNTIF('261015'!$C$18:$C$47,$C92)+COUNTIF('261015'!$I$18:$I$47,$C92)</f>
        <v>0</v>
      </c>
      <c r="T92" s="17">
        <f>COUNTIF('261016'!$C$18:$C$47,$C92)+COUNTIF('261016'!$I$18:$I$47,$C92)</f>
        <v>0</v>
      </c>
      <c r="U92" s="17">
        <f>COUNTIF('261017'!$C$18:$C$47,$C92)+COUNTIF('261017'!$I$18:$I$47,$C92)</f>
        <v>0</v>
      </c>
      <c r="V92" s="17">
        <f>COUNTIF('261018'!$C$18:$C$47,$C92)+COUNTIF('261018'!$I$18:$I$47,$C92)</f>
        <v>0</v>
      </c>
      <c r="W92" s="17">
        <f>COUNTIF('261019'!$C$18:$C$47,$C92)+COUNTIF('261019'!$I$18:$I$47,$C92)</f>
        <v>0</v>
      </c>
      <c r="X92" s="17">
        <f>COUNTIF('261020'!$C$18:$C$47,$C92)+COUNTIF('261020'!$I$18:$I$47,$C92)</f>
        <v>0</v>
      </c>
      <c r="Y92" s="17">
        <f>COUNTIF('261021'!$C$18:$C$47,$C92)+COUNTIF('261021'!$I$18:$I$47,$C92)</f>
        <v>0</v>
      </c>
      <c r="Z92" s="17">
        <f>COUNTIF('261022'!$C$18:$C$47,$C92)+COUNTIF('261022'!$I$18:$I$47,$C92)</f>
        <v>0</v>
      </c>
      <c r="AA92" s="17">
        <f>COUNTIF('261023'!$C$18:$C$47,$C92)+COUNTIF('261023'!$I$18:$I$47,$C92)</f>
        <v>0</v>
      </c>
      <c r="AB92" s="17">
        <f>COUNTIF('261024'!$C$18:$C$47,$C92)+COUNTIF('261024'!$I$18:$I$47,$C92)</f>
        <v>0</v>
      </c>
      <c r="AC92" s="17">
        <f>COUNTIF('261025'!$C$18:$C$47,$C92)+COUNTIF('261025'!$I$18:$I$47,$C92)</f>
        <v>0</v>
      </c>
      <c r="AD92" s="17">
        <f>COUNTIF('261026'!$C$18:$C$47,$C92)+COUNTIF('261026'!$I$18:$I$47,$C92)</f>
        <v>0</v>
      </c>
      <c r="AE92" s="17">
        <f>COUNTIF('261027'!$C$18:$C$47,$C92)+COUNTIF('261027'!$I$18:$I$47,$C92)</f>
        <v>0</v>
      </c>
      <c r="AF92" s="17">
        <f>COUNTIF('261028'!$C$18:$C$47,$C92)+COUNTIF('261028'!$I$18:$I$47,$C92)</f>
        <v>0</v>
      </c>
      <c r="AG92" s="17">
        <f>COUNTIF('261029'!$C$18:$C$47,$C92)+COUNTIF('261029'!$I$18:$I$47,$C92)</f>
        <v>0</v>
      </c>
      <c r="AH92" s="17">
        <f>COUNTIF('261030'!$C$18:$C$47,$C92)+COUNTIF('261030'!$I$18:$I$47,$C92)</f>
        <v>0</v>
      </c>
      <c r="AI92" s="17">
        <f>COUNTIF('261031'!$C$18:$C$47,$C92)+COUNTIF('261031'!$I$18:$I$47,$C92)</f>
        <v>0</v>
      </c>
      <c r="AJ92" s="108">
        <f t="shared" si="5"/>
        <v>0</v>
      </c>
      <c r="AL92" s="16"/>
      <c r="AM92" s="16"/>
    </row>
    <row r="93" spans="2:39" ht="20.100000000000001" customHeight="1" x14ac:dyDescent="0.3">
      <c r="B93" s="36">
        <f t="shared" si="2"/>
        <v>89</v>
      </c>
      <c r="C93" s="62"/>
      <c r="D93" s="62"/>
      <c r="E93" s="17">
        <f>COUNTIF('261001'!$C$18:$C$47,$C93)+COUNTIF('261001'!$I$18:$I$47,$C93)</f>
        <v>0</v>
      </c>
      <c r="F93" s="17">
        <f>COUNTIF('261002'!$C$18:$C$47,$C93)+COUNTIF('261002'!$I$18:$I$47,$C93)</f>
        <v>0</v>
      </c>
      <c r="G93" s="17">
        <f>COUNTIF('261003'!$C$18:$C$47,$C93)+COUNTIF('261003'!$I$18:$I$47,$C93)</f>
        <v>0</v>
      </c>
      <c r="H93" s="17">
        <f>COUNTIF('261004'!$C$18:$C$47,$C93)+COUNTIF('261004'!$I$18:$I$47,$C93)</f>
        <v>0</v>
      </c>
      <c r="I93" s="17">
        <f>COUNTIF('261005'!$C$18:$C$47,$C93)+COUNTIF('261005'!$I$18:$I$47,$C93)</f>
        <v>0</v>
      </c>
      <c r="J93" s="17">
        <f>COUNTIF('261006'!$C$18:$C$47,$C93)+COUNTIF('261006'!$I$18:$I$47,$C93)</f>
        <v>0</v>
      </c>
      <c r="K93" s="17">
        <f>COUNTIF('261007'!$C$18:$C$47,$C93)+COUNTIF('261007'!$I$18:$I$47,$C93)</f>
        <v>0</v>
      </c>
      <c r="L93" s="17">
        <f>COUNTIF('261008'!$C$18:$C$47,$C93)+COUNTIF('261008'!$I$18:$I$47,$C93)</f>
        <v>0</v>
      </c>
      <c r="M93" s="17">
        <f>COUNTIF('261009'!$C$18:$C$47,$C93)+COUNTIF('261009'!$I$18:$I$47,$C93)</f>
        <v>0</v>
      </c>
      <c r="N93" s="17">
        <f>COUNTIF('261010'!$C$18:$C$47,$C93)+COUNTIF('261010'!$I$18:$I$47,$C93)</f>
        <v>0</v>
      </c>
      <c r="O93" s="17">
        <f>COUNTIF('261011'!$C$18:$C$47,$C93)+COUNTIF('261011'!$I$18:$I$47,$C93)</f>
        <v>0</v>
      </c>
      <c r="P93" s="17">
        <f>COUNTIF('261012'!$C$18:$C$47,$C93)+COUNTIF('261012'!$I$18:$I$47,$C93)</f>
        <v>0</v>
      </c>
      <c r="Q93" s="17">
        <f>COUNTIF('261013'!$C$18:$C$47,$C93)+COUNTIF('261013'!$I$18:$I$47,$C93)</f>
        <v>0</v>
      </c>
      <c r="R93" s="17">
        <f>COUNTIF('261014'!$C$18:$C$47,$C93)+COUNTIF('261014'!$I$18:$I$47,$C93)</f>
        <v>0</v>
      </c>
      <c r="S93" s="17">
        <f>COUNTIF('261015'!$C$18:$C$47,$C93)+COUNTIF('261015'!$I$18:$I$47,$C93)</f>
        <v>0</v>
      </c>
      <c r="T93" s="17">
        <f>COUNTIF('261016'!$C$18:$C$47,$C93)+COUNTIF('261016'!$I$18:$I$47,$C93)</f>
        <v>0</v>
      </c>
      <c r="U93" s="17">
        <f>COUNTIF('261017'!$C$18:$C$47,$C93)+COUNTIF('261017'!$I$18:$I$47,$C93)</f>
        <v>0</v>
      </c>
      <c r="V93" s="17">
        <f>COUNTIF('261018'!$C$18:$C$47,$C93)+COUNTIF('261018'!$I$18:$I$47,$C93)</f>
        <v>0</v>
      </c>
      <c r="W93" s="17">
        <f>COUNTIF('261019'!$C$18:$C$47,$C93)+COUNTIF('261019'!$I$18:$I$47,$C93)</f>
        <v>0</v>
      </c>
      <c r="X93" s="17">
        <f>COUNTIF('261020'!$C$18:$C$47,$C93)+COUNTIF('261020'!$I$18:$I$47,$C93)</f>
        <v>0</v>
      </c>
      <c r="Y93" s="17">
        <f>COUNTIF('261021'!$C$18:$C$47,$C93)+COUNTIF('261021'!$I$18:$I$47,$C93)</f>
        <v>0</v>
      </c>
      <c r="Z93" s="17">
        <f>COUNTIF('261022'!$C$18:$C$47,$C93)+COUNTIF('261022'!$I$18:$I$47,$C93)</f>
        <v>0</v>
      </c>
      <c r="AA93" s="17">
        <f>COUNTIF('261023'!$C$18:$C$47,$C93)+COUNTIF('261023'!$I$18:$I$47,$C93)</f>
        <v>0</v>
      </c>
      <c r="AB93" s="17">
        <f>COUNTIF('261024'!$C$18:$C$47,$C93)+COUNTIF('261024'!$I$18:$I$47,$C93)</f>
        <v>0</v>
      </c>
      <c r="AC93" s="17">
        <f>COUNTIF('261025'!$C$18:$C$47,$C93)+COUNTIF('261025'!$I$18:$I$47,$C93)</f>
        <v>0</v>
      </c>
      <c r="AD93" s="17">
        <f>COUNTIF('261026'!$C$18:$C$47,$C93)+COUNTIF('261026'!$I$18:$I$47,$C93)</f>
        <v>0</v>
      </c>
      <c r="AE93" s="17">
        <f>COUNTIF('261027'!$C$18:$C$47,$C93)+COUNTIF('261027'!$I$18:$I$47,$C93)</f>
        <v>0</v>
      </c>
      <c r="AF93" s="17">
        <f>COUNTIF('261028'!$C$18:$C$47,$C93)+COUNTIF('261028'!$I$18:$I$47,$C93)</f>
        <v>0</v>
      </c>
      <c r="AG93" s="17">
        <f>COUNTIF('261029'!$C$18:$C$47,$C93)+COUNTIF('261029'!$I$18:$I$47,$C93)</f>
        <v>0</v>
      </c>
      <c r="AH93" s="17">
        <f>COUNTIF('261030'!$C$18:$C$47,$C93)+COUNTIF('261030'!$I$18:$I$47,$C93)</f>
        <v>0</v>
      </c>
      <c r="AI93" s="17">
        <f>COUNTIF('261031'!$C$18:$C$47,$C93)+COUNTIF('261031'!$I$18:$I$47,$C93)</f>
        <v>0</v>
      </c>
      <c r="AJ93" s="108">
        <f t="shared" si="5"/>
        <v>0</v>
      </c>
      <c r="AL93" s="16"/>
      <c r="AM93" s="16"/>
    </row>
    <row r="94" spans="2:39" ht="20.100000000000001" customHeight="1" x14ac:dyDescent="0.3">
      <c r="B94" s="36">
        <f t="shared" si="2"/>
        <v>90</v>
      </c>
      <c r="C94" s="62"/>
      <c r="D94" s="62"/>
      <c r="E94" s="17">
        <f>COUNTIF('261001'!$C$18:$C$47,$C94)+COUNTIF('261001'!$I$18:$I$47,$C94)</f>
        <v>0</v>
      </c>
      <c r="F94" s="17">
        <f>COUNTIF('261002'!$C$18:$C$47,$C94)+COUNTIF('261002'!$I$18:$I$47,$C94)</f>
        <v>0</v>
      </c>
      <c r="G94" s="17">
        <f>COUNTIF('261003'!$C$18:$C$47,$C94)+COUNTIF('261003'!$I$18:$I$47,$C94)</f>
        <v>0</v>
      </c>
      <c r="H94" s="17">
        <f>COUNTIF('261004'!$C$18:$C$47,$C94)+COUNTIF('261004'!$I$18:$I$47,$C94)</f>
        <v>0</v>
      </c>
      <c r="I94" s="17">
        <f>COUNTIF('261005'!$C$18:$C$47,$C94)+COUNTIF('261005'!$I$18:$I$47,$C94)</f>
        <v>0</v>
      </c>
      <c r="J94" s="17">
        <f>COUNTIF('261006'!$C$18:$C$47,$C94)+COUNTIF('261006'!$I$18:$I$47,$C94)</f>
        <v>0</v>
      </c>
      <c r="K94" s="17">
        <f>COUNTIF('261007'!$C$18:$C$47,$C94)+COUNTIF('261007'!$I$18:$I$47,$C94)</f>
        <v>0</v>
      </c>
      <c r="L94" s="17">
        <f>COUNTIF('261008'!$C$18:$C$47,$C94)+COUNTIF('261008'!$I$18:$I$47,$C94)</f>
        <v>0</v>
      </c>
      <c r="M94" s="17">
        <f>COUNTIF('261009'!$C$18:$C$47,$C94)+COUNTIF('261009'!$I$18:$I$47,$C94)</f>
        <v>0</v>
      </c>
      <c r="N94" s="17">
        <f>COUNTIF('261010'!$C$18:$C$47,$C94)+COUNTIF('261010'!$I$18:$I$47,$C94)</f>
        <v>0</v>
      </c>
      <c r="O94" s="17">
        <f>COUNTIF('261011'!$C$18:$C$47,$C94)+COUNTIF('261011'!$I$18:$I$47,$C94)</f>
        <v>0</v>
      </c>
      <c r="P94" s="17">
        <f>COUNTIF('261012'!$C$18:$C$47,$C94)+COUNTIF('261012'!$I$18:$I$47,$C94)</f>
        <v>0</v>
      </c>
      <c r="Q94" s="17">
        <f>COUNTIF('261013'!$C$18:$C$47,$C94)+COUNTIF('261013'!$I$18:$I$47,$C94)</f>
        <v>0</v>
      </c>
      <c r="R94" s="17">
        <f>COUNTIF('261014'!$C$18:$C$47,$C94)+COUNTIF('261014'!$I$18:$I$47,$C94)</f>
        <v>0</v>
      </c>
      <c r="S94" s="17">
        <f>COUNTIF('261015'!$C$18:$C$47,$C94)+COUNTIF('261015'!$I$18:$I$47,$C94)</f>
        <v>0</v>
      </c>
      <c r="T94" s="17">
        <f>COUNTIF('261016'!$C$18:$C$47,$C94)+COUNTIF('261016'!$I$18:$I$47,$C94)</f>
        <v>0</v>
      </c>
      <c r="U94" s="17">
        <f>COUNTIF('261017'!$C$18:$C$47,$C94)+COUNTIF('261017'!$I$18:$I$47,$C94)</f>
        <v>0</v>
      </c>
      <c r="V94" s="17">
        <f>COUNTIF('261018'!$C$18:$C$47,$C94)+COUNTIF('261018'!$I$18:$I$47,$C94)</f>
        <v>0</v>
      </c>
      <c r="W94" s="17">
        <f>COUNTIF('261019'!$C$18:$C$47,$C94)+COUNTIF('261019'!$I$18:$I$47,$C94)</f>
        <v>0</v>
      </c>
      <c r="X94" s="17">
        <f>COUNTIF('261020'!$C$18:$C$47,$C94)+COUNTIF('261020'!$I$18:$I$47,$C94)</f>
        <v>0</v>
      </c>
      <c r="Y94" s="17">
        <f>COUNTIF('261021'!$C$18:$C$47,$C94)+COUNTIF('261021'!$I$18:$I$47,$C94)</f>
        <v>0</v>
      </c>
      <c r="Z94" s="17">
        <f>COUNTIF('261022'!$C$18:$C$47,$C94)+COUNTIF('261022'!$I$18:$I$47,$C94)</f>
        <v>0</v>
      </c>
      <c r="AA94" s="17">
        <f>COUNTIF('261023'!$C$18:$C$47,$C94)+COUNTIF('261023'!$I$18:$I$47,$C94)</f>
        <v>0</v>
      </c>
      <c r="AB94" s="17">
        <f>COUNTIF('261024'!$C$18:$C$47,$C94)+COUNTIF('261024'!$I$18:$I$47,$C94)</f>
        <v>0</v>
      </c>
      <c r="AC94" s="17">
        <f>COUNTIF('261025'!$C$18:$C$47,$C94)+COUNTIF('261025'!$I$18:$I$47,$C94)</f>
        <v>0</v>
      </c>
      <c r="AD94" s="17">
        <f>COUNTIF('261026'!$C$18:$C$47,$C94)+COUNTIF('261026'!$I$18:$I$47,$C94)</f>
        <v>0</v>
      </c>
      <c r="AE94" s="17">
        <f>COUNTIF('261027'!$C$18:$C$47,$C94)+COUNTIF('261027'!$I$18:$I$47,$C94)</f>
        <v>0</v>
      </c>
      <c r="AF94" s="17">
        <f>COUNTIF('261028'!$C$18:$C$47,$C94)+COUNTIF('261028'!$I$18:$I$47,$C94)</f>
        <v>0</v>
      </c>
      <c r="AG94" s="17">
        <f>COUNTIF('261029'!$C$18:$C$47,$C94)+COUNTIF('261029'!$I$18:$I$47,$C94)</f>
        <v>0</v>
      </c>
      <c r="AH94" s="17">
        <f>COUNTIF('261030'!$C$18:$C$47,$C94)+COUNTIF('261030'!$I$18:$I$47,$C94)</f>
        <v>0</v>
      </c>
      <c r="AI94" s="17">
        <f>COUNTIF('261031'!$C$18:$C$47,$C94)+COUNTIF('261031'!$I$18:$I$47,$C94)</f>
        <v>0</v>
      </c>
      <c r="AJ94" s="108">
        <f t="shared" si="5"/>
        <v>0</v>
      </c>
      <c r="AL94" s="16"/>
      <c r="AM94" s="16"/>
    </row>
    <row r="95" spans="2:39" ht="20.100000000000001" customHeight="1" x14ac:dyDescent="0.3">
      <c r="B95" s="36">
        <f t="shared" si="2"/>
        <v>91</v>
      </c>
      <c r="C95" s="62"/>
      <c r="D95" s="62"/>
      <c r="E95" s="17">
        <f>COUNTIF('261001'!$C$18:$C$47,$C95)+COUNTIF('261001'!$I$18:$I$47,$C95)</f>
        <v>0</v>
      </c>
      <c r="F95" s="17">
        <f>COUNTIF('261002'!$C$18:$C$47,$C95)+COUNTIF('261002'!$I$18:$I$47,$C95)</f>
        <v>0</v>
      </c>
      <c r="G95" s="17">
        <f>COUNTIF('261003'!$C$18:$C$47,$C95)+COUNTIF('261003'!$I$18:$I$47,$C95)</f>
        <v>0</v>
      </c>
      <c r="H95" s="17">
        <f>COUNTIF('261004'!$C$18:$C$47,$C95)+COUNTIF('261004'!$I$18:$I$47,$C95)</f>
        <v>0</v>
      </c>
      <c r="I95" s="17">
        <f>COUNTIF('261005'!$C$18:$C$47,$C95)+COUNTIF('261005'!$I$18:$I$47,$C95)</f>
        <v>0</v>
      </c>
      <c r="J95" s="17">
        <f>COUNTIF('261006'!$C$18:$C$47,$C95)+COUNTIF('261006'!$I$18:$I$47,$C95)</f>
        <v>0</v>
      </c>
      <c r="K95" s="17">
        <f>COUNTIF('261007'!$C$18:$C$47,$C95)+COUNTIF('261007'!$I$18:$I$47,$C95)</f>
        <v>0</v>
      </c>
      <c r="L95" s="17">
        <f>COUNTIF('261008'!$C$18:$C$47,$C95)+COUNTIF('261008'!$I$18:$I$47,$C95)</f>
        <v>0</v>
      </c>
      <c r="M95" s="17">
        <f>COUNTIF('261009'!$C$18:$C$47,$C95)+COUNTIF('261009'!$I$18:$I$47,$C95)</f>
        <v>0</v>
      </c>
      <c r="N95" s="17">
        <f>COUNTIF('261010'!$C$18:$C$47,$C95)+COUNTIF('261010'!$I$18:$I$47,$C95)</f>
        <v>0</v>
      </c>
      <c r="O95" s="17">
        <f>COUNTIF('261011'!$C$18:$C$47,$C95)+COUNTIF('261011'!$I$18:$I$47,$C95)</f>
        <v>0</v>
      </c>
      <c r="P95" s="17">
        <f>COUNTIF('261012'!$C$18:$C$47,$C95)+COUNTIF('261012'!$I$18:$I$47,$C95)</f>
        <v>0</v>
      </c>
      <c r="Q95" s="17">
        <f>COUNTIF('261013'!$C$18:$C$47,$C95)+COUNTIF('261013'!$I$18:$I$47,$C95)</f>
        <v>0</v>
      </c>
      <c r="R95" s="17">
        <f>COUNTIF('261014'!$C$18:$C$47,$C95)+COUNTIF('261014'!$I$18:$I$47,$C95)</f>
        <v>0</v>
      </c>
      <c r="S95" s="17">
        <f>COUNTIF('261015'!$C$18:$C$47,$C95)+COUNTIF('261015'!$I$18:$I$47,$C95)</f>
        <v>0</v>
      </c>
      <c r="T95" s="17">
        <f>COUNTIF('261016'!$C$18:$C$47,$C95)+COUNTIF('261016'!$I$18:$I$47,$C95)</f>
        <v>0</v>
      </c>
      <c r="U95" s="17">
        <f>COUNTIF('261017'!$C$18:$C$47,$C95)+COUNTIF('261017'!$I$18:$I$47,$C95)</f>
        <v>0</v>
      </c>
      <c r="V95" s="17">
        <f>COUNTIF('261018'!$C$18:$C$47,$C95)+COUNTIF('261018'!$I$18:$I$47,$C95)</f>
        <v>0</v>
      </c>
      <c r="W95" s="17">
        <f>COUNTIF('261019'!$C$18:$C$47,$C95)+COUNTIF('261019'!$I$18:$I$47,$C95)</f>
        <v>0</v>
      </c>
      <c r="X95" s="17">
        <f>COUNTIF('261020'!$C$18:$C$47,$C95)+COUNTIF('261020'!$I$18:$I$47,$C95)</f>
        <v>0</v>
      </c>
      <c r="Y95" s="17">
        <f>COUNTIF('261021'!$C$18:$C$47,$C95)+COUNTIF('261021'!$I$18:$I$47,$C95)</f>
        <v>0</v>
      </c>
      <c r="Z95" s="17">
        <f>COUNTIF('261022'!$C$18:$C$47,$C95)+COUNTIF('261022'!$I$18:$I$47,$C95)</f>
        <v>0</v>
      </c>
      <c r="AA95" s="17">
        <f>COUNTIF('261023'!$C$18:$C$47,$C95)+COUNTIF('261023'!$I$18:$I$47,$C95)</f>
        <v>0</v>
      </c>
      <c r="AB95" s="17">
        <f>COUNTIF('261024'!$C$18:$C$47,$C95)+COUNTIF('261024'!$I$18:$I$47,$C95)</f>
        <v>0</v>
      </c>
      <c r="AC95" s="17">
        <f>COUNTIF('261025'!$C$18:$C$47,$C95)+COUNTIF('261025'!$I$18:$I$47,$C95)</f>
        <v>0</v>
      </c>
      <c r="AD95" s="17">
        <f>COUNTIF('261026'!$C$18:$C$47,$C95)+COUNTIF('261026'!$I$18:$I$47,$C95)</f>
        <v>0</v>
      </c>
      <c r="AE95" s="17">
        <f>COUNTIF('261027'!$C$18:$C$47,$C95)+COUNTIF('261027'!$I$18:$I$47,$C95)</f>
        <v>0</v>
      </c>
      <c r="AF95" s="17">
        <f>COUNTIF('261028'!$C$18:$C$47,$C95)+COUNTIF('261028'!$I$18:$I$47,$C95)</f>
        <v>0</v>
      </c>
      <c r="AG95" s="17">
        <f>COUNTIF('261029'!$C$18:$C$47,$C95)+COUNTIF('261029'!$I$18:$I$47,$C95)</f>
        <v>0</v>
      </c>
      <c r="AH95" s="17">
        <f>COUNTIF('261030'!$C$18:$C$47,$C95)+COUNTIF('261030'!$I$18:$I$47,$C95)</f>
        <v>0</v>
      </c>
      <c r="AI95" s="17">
        <f>COUNTIF('261031'!$C$18:$C$47,$C95)+COUNTIF('261031'!$I$18:$I$47,$C95)</f>
        <v>0</v>
      </c>
      <c r="AJ95" s="108">
        <f t="shared" si="5"/>
        <v>0</v>
      </c>
      <c r="AL95" s="16"/>
      <c r="AM95" s="16"/>
    </row>
    <row r="96" spans="2:39" ht="20.100000000000001" customHeight="1" x14ac:dyDescent="0.3">
      <c r="B96" s="36">
        <f t="shared" si="2"/>
        <v>92</v>
      </c>
      <c r="C96" s="62"/>
      <c r="D96" s="62"/>
      <c r="E96" s="17">
        <f>COUNTIF('261001'!$C$18:$C$47,$C96)+COUNTIF('261001'!$I$18:$I$47,$C96)</f>
        <v>0</v>
      </c>
      <c r="F96" s="17">
        <f>COUNTIF('261002'!$C$18:$C$47,$C96)+COUNTIF('261002'!$I$18:$I$47,$C96)</f>
        <v>0</v>
      </c>
      <c r="G96" s="17">
        <f>COUNTIF('261003'!$C$18:$C$47,$C96)+COUNTIF('261003'!$I$18:$I$47,$C96)</f>
        <v>0</v>
      </c>
      <c r="H96" s="17">
        <f>COUNTIF('261004'!$C$18:$C$47,$C96)+COUNTIF('261004'!$I$18:$I$47,$C96)</f>
        <v>0</v>
      </c>
      <c r="I96" s="17">
        <f>COUNTIF('261005'!$C$18:$C$47,$C96)+COUNTIF('261005'!$I$18:$I$47,$C96)</f>
        <v>0</v>
      </c>
      <c r="J96" s="17">
        <f>COUNTIF('261006'!$C$18:$C$47,$C96)+COUNTIF('261006'!$I$18:$I$47,$C96)</f>
        <v>0</v>
      </c>
      <c r="K96" s="17">
        <f>COUNTIF('261007'!$C$18:$C$47,$C96)+COUNTIF('261007'!$I$18:$I$47,$C96)</f>
        <v>0</v>
      </c>
      <c r="L96" s="17">
        <f>COUNTIF('261008'!$C$18:$C$47,$C96)+COUNTIF('261008'!$I$18:$I$47,$C96)</f>
        <v>0</v>
      </c>
      <c r="M96" s="17">
        <f>COUNTIF('261009'!$C$18:$C$47,$C96)+COUNTIF('261009'!$I$18:$I$47,$C96)</f>
        <v>0</v>
      </c>
      <c r="N96" s="17">
        <f>COUNTIF('261010'!$C$18:$C$47,$C96)+COUNTIF('261010'!$I$18:$I$47,$C96)</f>
        <v>0</v>
      </c>
      <c r="O96" s="17">
        <f>COUNTIF('261011'!$C$18:$C$47,$C96)+COUNTIF('261011'!$I$18:$I$47,$C96)</f>
        <v>0</v>
      </c>
      <c r="P96" s="17">
        <f>COUNTIF('261012'!$C$18:$C$47,$C96)+COUNTIF('261012'!$I$18:$I$47,$C96)</f>
        <v>0</v>
      </c>
      <c r="Q96" s="17">
        <f>COUNTIF('261013'!$C$18:$C$47,$C96)+COUNTIF('261013'!$I$18:$I$47,$C96)</f>
        <v>0</v>
      </c>
      <c r="R96" s="17">
        <f>COUNTIF('261014'!$C$18:$C$47,$C96)+COUNTIF('261014'!$I$18:$I$47,$C96)</f>
        <v>0</v>
      </c>
      <c r="S96" s="17">
        <f>COUNTIF('261015'!$C$18:$C$47,$C96)+COUNTIF('261015'!$I$18:$I$47,$C96)</f>
        <v>0</v>
      </c>
      <c r="T96" s="17">
        <f>COUNTIF('261016'!$C$18:$C$47,$C96)+COUNTIF('261016'!$I$18:$I$47,$C96)</f>
        <v>0</v>
      </c>
      <c r="U96" s="17">
        <f>COUNTIF('261017'!$C$18:$C$47,$C96)+COUNTIF('261017'!$I$18:$I$47,$C96)</f>
        <v>0</v>
      </c>
      <c r="V96" s="17">
        <f>COUNTIF('261018'!$C$18:$C$47,$C96)+COUNTIF('261018'!$I$18:$I$47,$C96)</f>
        <v>0</v>
      </c>
      <c r="W96" s="17">
        <f>COUNTIF('261019'!$C$18:$C$47,$C96)+COUNTIF('261019'!$I$18:$I$47,$C96)</f>
        <v>0</v>
      </c>
      <c r="X96" s="17">
        <f>COUNTIF('261020'!$C$18:$C$47,$C96)+COUNTIF('261020'!$I$18:$I$47,$C96)</f>
        <v>0</v>
      </c>
      <c r="Y96" s="17">
        <f>COUNTIF('261021'!$C$18:$C$47,$C96)+COUNTIF('261021'!$I$18:$I$47,$C96)</f>
        <v>0</v>
      </c>
      <c r="Z96" s="17">
        <f>COUNTIF('261022'!$C$18:$C$47,$C96)+COUNTIF('261022'!$I$18:$I$47,$C96)</f>
        <v>0</v>
      </c>
      <c r="AA96" s="17">
        <f>COUNTIF('261023'!$C$18:$C$47,$C96)+COUNTIF('261023'!$I$18:$I$47,$C96)</f>
        <v>0</v>
      </c>
      <c r="AB96" s="17">
        <f>COUNTIF('261024'!$C$18:$C$47,$C96)+COUNTIF('261024'!$I$18:$I$47,$C96)</f>
        <v>0</v>
      </c>
      <c r="AC96" s="17">
        <f>COUNTIF('261025'!$C$18:$C$47,$C96)+COUNTIF('261025'!$I$18:$I$47,$C96)</f>
        <v>0</v>
      </c>
      <c r="AD96" s="17">
        <f>COUNTIF('261026'!$C$18:$C$47,$C96)+COUNTIF('261026'!$I$18:$I$47,$C96)</f>
        <v>0</v>
      </c>
      <c r="AE96" s="17">
        <f>COUNTIF('261027'!$C$18:$C$47,$C96)+COUNTIF('261027'!$I$18:$I$47,$C96)</f>
        <v>0</v>
      </c>
      <c r="AF96" s="17">
        <f>COUNTIF('261028'!$C$18:$C$47,$C96)+COUNTIF('261028'!$I$18:$I$47,$C96)</f>
        <v>0</v>
      </c>
      <c r="AG96" s="17">
        <f>COUNTIF('261029'!$C$18:$C$47,$C96)+COUNTIF('261029'!$I$18:$I$47,$C96)</f>
        <v>0</v>
      </c>
      <c r="AH96" s="17">
        <f>COUNTIF('261030'!$C$18:$C$47,$C96)+COUNTIF('261030'!$I$18:$I$47,$C96)</f>
        <v>0</v>
      </c>
      <c r="AI96" s="17">
        <f>COUNTIF('261031'!$C$18:$C$47,$C96)+COUNTIF('261031'!$I$18:$I$47,$C96)</f>
        <v>0</v>
      </c>
      <c r="AJ96" s="108">
        <f t="shared" si="5"/>
        <v>0</v>
      </c>
      <c r="AL96" s="16"/>
      <c r="AM96" s="16"/>
    </row>
    <row r="97" spans="2:39" ht="20.100000000000001" customHeight="1" x14ac:dyDescent="0.3">
      <c r="B97" s="36">
        <f t="shared" si="2"/>
        <v>93</v>
      </c>
      <c r="C97" s="62"/>
      <c r="D97" s="62"/>
      <c r="E97" s="17">
        <f>COUNTIF('261001'!$C$18:$C$47,$C97)+COUNTIF('261001'!$I$18:$I$47,$C97)</f>
        <v>0</v>
      </c>
      <c r="F97" s="17">
        <f>COUNTIF('261002'!$C$18:$C$47,$C97)+COUNTIF('261002'!$I$18:$I$47,$C97)</f>
        <v>0</v>
      </c>
      <c r="G97" s="17">
        <f>COUNTIF('261003'!$C$18:$C$47,$C97)+COUNTIF('261003'!$I$18:$I$47,$C97)</f>
        <v>0</v>
      </c>
      <c r="H97" s="17">
        <f>COUNTIF('261004'!$C$18:$C$47,$C97)+COUNTIF('261004'!$I$18:$I$47,$C97)</f>
        <v>0</v>
      </c>
      <c r="I97" s="17">
        <f>COUNTIF('261005'!$C$18:$C$47,$C97)+COUNTIF('261005'!$I$18:$I$47,$C97)</f>
        <v>0</v>
      </c>
      <c r="J97" s="17">
        <f>COUNTIF('261006'!$C$18:$C$47,$C97)+COUNTIF('261006'!$I$18:$I$47,$C97)</f>
        <v>0</v>
      </c>
      <c r="K97" s="17">
        <f>COUNTIF('261007'!$C$18:$C$47,$C97)+COUNTIF('261007'!$I$18:$I$47,$C97)</f>
        <v>0</v>
      </c>
      <c r="L97" s="17">
        <f>COUNTIF('261008'!$C$18:$C$47,$C97)+COUNTIF('261008'!$I$18:$I$47,$C97)</f>
        <v>0</v>
      </c>
      <c r="M97" s="17">
        <f>COUNTIF('261009'!$C$18:$C$47,$C97)+COUNTIF('261009'!$I$18:$I$47,$C97)</f>
        <v>0</v>
      </c>
      <c r="N97" s="17">
        <f>COUNTIF('261010'!$C$18:$C$47,$C97)+COUNTIF('261010'!$I$18:$I$47,$C97)</f>
        <v>0</v>
      </c>
      <c r="O97" s="17">
        <f>COUNTIF('261011'!$C$18:$C$47,$C97)+COUNTIF('261011'!$I$18:$I$47,$C97)</f>
        <v>0</v>
      </c>
      <c r="P97" s="17">
        <f>COUNTIF('261012'!$C$18:$C$47,$C97)+COUNTIF('261012'!$I$18:$I$47,$C97)</f>
        <v>0</v>
      </c>
      <c r="Q97" s="17">
        <f>COUNTIF('261013'!$C$18:$C$47,$C97)+COUNTIF('261013'!$I$18:$I$47,$C97)</f>
        <v>0</v>
      </c>
      <c r="R97" s="17">
        <f>COUNTIF('261014'!$C$18:$C$47,$C97)+COUNTIF('261014'!$I$18:$I$47,$C97)</f>
        <v>0</v>
      </c>
      <c r="S97" s="17">
        <f>COUNTIF('261015'!$C$18:$C$47,$C97)+COUNTIF('261015'!$I$18:$I$47,$C97)</f>
        <v>0</v>
      </c>
      <c r="T97" s="17">
        <f>COUNTIF('261016'!$C$18:$C$47,$C97)+COUNTIF('261016'!$I$18:$I$47,$C97)</f>
        <v>0</v>
      </c>
      <c r="U97" s="17">
        <f>COUNTIF('261017'!$C$18:$C$47,$C97)+COUNTIF('261017'!$I$18:$I$47,$C97)</f>
        <v>0</v>
      </c>
      <c r="V97" s="17">
        <f>COUNTIF('261018'!$C$18:$C$47,$C97)+COUNTIF('261018'!$I$18:$I$47,$C97)</f>
        <v>0</v>
      </c>
      <c r="W97" s="17">
        <f>COUNTIF('261019'!$C$18:$C$47,$C97)+COUNTIF('261019'!$I$18:$I$47,$C97)</f>
        <v>0</v>
      </c>
      <c r="X97" s="17">
        <f>COUNTIF('261020'!$C$18:$C$47,$C97)+COUNTIF('261020'!$I$18:$I$47,$C97)</f>
        <v>0</v>
      </c>
      <c r="Y97" s="17">
        <f>COUNTIF('261021'!$C$18:$C$47,$C97)+COUNTIF('261021'!$I$18:$I$47,$C97)</f>
        <v>0</v>
      </c>
      <c r="Z97" s="17">
        <f>COUNTIF('261022'!$C$18:$C$47,$C97)+COUNTIF('261022'!$I$18:$I$47,$C97)</f>
        <v>0</v>
      </c>
      <c r="AA97" s="17">
        <f>COUNTIF('261023'!$C$18:$C$47,$C97)+COUNTIF('261023'!$I$18:$I$47,$C97)</f>
        <v>0</v>
      </c>
      <c r="AB97" s="17">
        <f>COUNTIF('261024'!$C$18:$C$47,$C97)+COUNTIF('261024'!$I$18:$I$47,$C97)</f>
        <v>0</v>
      </c>
      <c r="AC97" s="17">
        <f>COUNTIF('261025'!$C$18:$C$47,$C97)+COUNTIF('261025'!$I$18:$I$47,$C97)</f>
        <v>0</v>
      </c>
      <c r="AD97" s="17">
        <f>COUNTIF('261026'!$C$18:$C$47,$C97)+COUNTIF('261026'!$I$18:$I$47,$C97)</f>
        <v>0</v>
      </c>
      <c r="AE97" s="17">
        <f>COUNTIF('261027'!$C$18:$C$47,$C97)+COUNTIF('261027'!$I$18:$I$47,$C97)</f>
        <v>0</v>
      </c>
      <c r="AF97" s="17">
        <f>COUNTIF('261028'!$C$18:$C$47,$C97)+COUNTIF('261028'!$I$18:$I$47,$C97)</f>
        <v>0</v>
      </c>
      <c r="AG97" s="17">
        <f>COUNTIF('261029'!$C$18:$C$47,$C97)+COUNTIF('261029'!$I$18:$I$47,$C97)</f>
        <v>0</v>
      </c>
      <c r="AH97" s="17">
        <f>COUNTIF('261030'!$C$18:$C$47,$C97)+COUNTIF('261030'!$I$18:$I$47,$C97)</f>
        <v>0</v>
      </c>
      <c r="AI97" s="17">
        <f>COUNTIF('261031'!$C$18:$C$47,$C97)+COUNTIF('261031'!$I$18:$I$47,$C97)</f>
        <v>0</v>
      </c>
      <c r="AJ97" s="108">
        <f t="shared" si="5"/>
        <v>0</v>
      </c>
      <c r="AL97" s="16"/>
      <c r="AM97" s="16"/>
    </row>
    <row r="98" spans="2:39" ht="20.100000000000001" customHeight="1" x14ac:dyDescent="0.3">
      <c r="B98" s="36">
        <f t="shared" si="2"/>
        <v>94</v>
      </c>
      <c r="C98" s="19"/>
      <c r="D98" s="19"/>
      <c r="E98" s="17">
        <f>COUNTIF('261001'!$C$18:$C$47,$C98)+COUNTIF('261001'!$I$18:$I$47,$C98)</f>
        <v>0</v>
      </c>
      <c r="F98" s="17">
        <f>COUNTIF('261002'!$C$18:$C$47,$C98)+COUNTIF('261002'!$I$18:$I$47,$C98)</f>
        <v>0</v>
      </c>
      <c r="G98" s="17">
        <f>COUNTIF('261003'!$C$18:$C$47,$C98)+COUNTIF('261003'!$I$18:$I$47,$C98)</f>
        <v>0</v>
      </c>
      <c r="H98" s="17">
        <f>COUNTIF('261004'!$C$18:$C$47,$C98)+COUNTIF('261004'!$I$18:$I$47,$C98)</f>
        <v>0</v>
      </c>
      <c r="I98" s="17">
        <f>COUNTIF('261005'!$C$18:$C$47,$C98)+COUNTIF('261005'!$I$18:$I$47,$C98)</f>
        <v>0</v>
      </c>
      <c r="J98" s="17">
        <f>COUNTIF('261006'!$C$18:$C$47,$C98)+COUNTIF('261006'!$I$18:$I$47,$C98)</f>
        <v>0</v>
      </c>
      <c r="K98" s="17">
        <f>COUNTIF('261007'!$C$18:$C$47,$C98)+COUNTIF('261007'!$I$18:$I$47,$C98)</f>
        <v>0</v>
      </c>
      <c r="L98" s="17">
        <f>COUNTIF('261008'!$C$18:$C$47,$C98)+COUNTIF('261008'!$I$18:$I$47,$C98)</f>
        <v>0</v>
      </c>
      <c r="M98" s="17">
        <f>COUNTIF('261009'!$C$18:$C$47,$C98)+COUNTIF('261009'!$I$18:$I$47,$C98)</f>
        <v>0</v>
      </c>
      <c r="N98" s="17">
        <f>COUNTIF('261010'!$C$18:$C$47,$C98)+COUNTIF('261010'!$I$18:$I$47,$C98)</f>
        <v>0</v>
      </c>
      <c r="O98" s="17">
        <f>COUNTIF('261011'!$C$18:$C$47,$C98)+COUNTIF('261011'!$I$18:$I$47,$C98)</f>
        <v>0</v>
      </c>
      <c r="P98" s="17">
        <f>COUNTIF('261012'!$C$18:$C$47,$C98)+COUNTIF('261012'!$I$18:$I$47,$C98)</f>
        <v>0</v>
      </c>
      <c r="Q98" s="17">
        <f>COUNTIF('261013'!$C$18:$C$47,$C98)+COUNTIF('261013'!$I$18:$I$47,$C98)</f>
        <v>0</v>
      </c>
      <c r="R98" s="17">
        <f>COUNTIF('261014'!$C$18:$C$47,$C98)+COUNTIF('261014'!$I$18:$I$47,$C98)</f>
        <v>0</v>
      </c>
      <c r="S98" s="17">
        <f>COUNTIF('261015'!$C$18:$C$47,$C98)+COUNTIF('261015'!$I$18:$I$47,$C98)</f>
        <v>0</v>
      </c>
      <c r="T98" s="17">
        <f>COUNTIF('261016'!$C$18:$C$47,$C98)+COUNTIF('261016'!$I$18:$I$47,$C98)</f>
        <v>0</v>
      </c>
      <c r="U98" s="17">
        <f>COUNTIF('261017'!$C$18:$C$47,$C98)+COUNTIF('261017'!$I$18:$I$47,$C98)</f>
        <v>0</v>
      </c>
      <c r="V98" s="17">
        <f>COUNTIF('261018'!$C$18:$C$47,$C98)+COUNTIF('261018'!$I$18:$I$47,$C98)</f>
        <v>0</v>
      </c>
      <c r="W98" s="17">
        <f>COUNTIF('261019'!$C$18:$C$47,$C98)+COUNTIF('261019'!$I$18:$I$47,$C98)</f>
        <v>0</v>
      </c>
      <c r="X98" s="17">
        <f>COUNTIF('261020'!$C$18:$C$47,$C98)+COUNTIF('261020'!$I$18:$I$47,$C98)</f>
        <v>0</v>
      </c>
      <c r="Y98" s="17">
        <f>COUNTIF('261021'!$C$18:$C$47,$C98)+COUNTIF('261021'!$I$18:$I$47,$C98)</f>
        <v>0</v>
      </c>
      <c r="Z98" s="17">
        <f>COUNTIF('261022'!$C$18:$C$47,$C98)+COUNTIF('261022'!$I$18:$I$47,$C98)</f>
        <v>0</v>
      </c>
      <c r="AA98" s="17">
        <f>COUNTIF('261023'!$C$18:$C$47,$C98)+COUNTIF('261023'!$I$18:$I$47,$C98)</f>
        <v>0</v>
      </c>
      <c r="AB98" s="17">
        <f>COUNTIF('261024'!$C$18:$C$47,$C98)+COUNTIF('261024'!$I$18:$I$47,$C98)</f>
        <v>0</v>
      </c>
      <c r="AC98" s="17">
        <f>COUNTIF('261025'!$C$18:$C$47,$C98)+COUNTIF('261025'!$I$18:$I$47,$C98)</f>
        <v>0</v>
      </c>
      <c r="AD98" s="17">
        <f>COUNTIF('261026'!$C$18:$C$47,$C98)+COUNTIF('261026'!$I$18:$I$47,$C98)</f>
        <v>0</v>
      </c>
      <c r="AE98" s="17">
        <f>COUNTIF('261027'!$C$18:$C$47,$C98)+COUNTIF('261027'!$I$18:$I$47,$C98)</f>
        <v>0</v>
      </c>
      <c r="AF98" s="17">
        <f>COUNTIF('261028'!$C$18:$C$47,$C98)+COUNTIF('261028'!$I$18:$I$47,$C98)</f>
        <v>0</v>
      </c>
      <c r="AG98" s="17">
        <f>COUNTIF('261029'!$C$18:$C$47,$C98)+COUNTIF('261029'!$I$18:$I$47,$C98)</f>
        <v>0</v>
      </c>
      <c r="AH98" s="17">
        <f>COUNTIF('261030'!$C$18:$C$47,$C98)+COUNTIF('261030'!$I$18:$I$47,$C98)</f>
        <v>0</v>
      </c>
      <c r="AI98" s="17">
        <f>COUNTIF('261031'!$C$18:$C$47,$C98)+COUNTIF('261031'!$I$18:$I$47,$C98)</f>
        <v>0</v>
      </c>
      <c r="AJ98" s="108">
        <f t="shared" si="5"/>
        <v>0</v>
      </c>
      <c r="AL98" s="16"/>
      <c r="AM98" s="16"/>
    </row>
    <row r="99" spans="2:39" ht="20.100000000000001" customHeight="1" x14ac:dyDescent="0.3">
      <c r="B99" s="36">
        <f t="shared" si="2"/>
        <v>95</v>
      </c>
      <c r="C99" s="107"/>
      <c r="D99" s="19"/>
      <c r="E99" s="17">
        <f>COUNTIF('261001'!$C$18:$C$47,$C99)+COUNTIF('261001'!$I$18:$I$47,$C99)</f>
        <v>0</v>
      </c>
      <c r="F99" s="17">
        <f>COUNTIF('261002'!$C$18:$C$47,$C99)+COUNTIF('261002'!$I$18:$I$47,$C99)</f>
        <v>0</v>
      </c>
      <c r="G99" s="17">
        <f>COUNTIF('261003'!$C$18:$C$47,$C99)+COUNTIF('261003'!$I$18:$I$47,$C99)</f>
        <v>0</v>
      </c>
      <c r="H99" s="17">
        <f>COUNTIF('261004'!$C$18:$C$47,$C99)+COUNTIF('261004'!$I$18:$I$47,$C99)</f>
        <v>0</v>
      </c>
      <c r="I99" s="17">
        <f>COUNTIF('261005'!$C$18:$C$47,$C99)+COUNTIF('261005'!$I$18:$I$47,$C99)</f>
        <v>0</v>
      </c>
      <c r="J99" s="17">
        <f>COUNTIF('261006'!$C$18:$C$47,$C99)+COUNTIF('261006'!$I$18:$I$47,$C99)</f>
        <v>0</v>
      </c>
      <c r="K99" s="17">
        <f>COUNTIF('261007'!$C$18:$C$47,$C99)+COUNTIF('261007'!$I$18:$I$47,$C99)</f>
        <v>0</v>
      </c>
      <c r="L99" s="17">
        <f>COUNTIF('261008'!$C$18:$C$47,$C99)+COUNTIF('261008'!$I$18:$I$47,$C99)</f>
        <v>0</v>
      </c>
      <c r="M99" s="17">
        <f>COUNTIF('261009'!$C$18:$C$47,$C99)+COUNTIF('261009'!$I$18:$I$47,$C99)</f>
        <v>0</v>
      </c>
      <c r="N99" s="17">
        <f>COUNTIF('261010'!$C$18:$C$47,$C99)+COUNTIF('261010'!$I$18:$I$47,$C99)</f>
        <v>0</v>
      </c>
      <c r="O99" s="17">
        <f>COUNTIF('261011'!$C$18:$C$47,$C99)+COUNTIF('261011'!$I$18:$I$47,$C99)</f>
        <v>0</v>
      </c>
      <c r="P99" s="17">
        <f>COUNTIF('261012'!$C$18:$C$47,$C99)+COUNTIF('261012'!$I$18:$I$47,$C99)</f>
        <v>0</v>
      </c>
      <c r="Q99" s="17">
        <f>COUNTIF('261013'!$C$18:$C$47,$C99)+COUNTIF('261013'!$I$18:$I$47,$C99)</f>
        <v>0</v>
      </c>
      <c r="R99" s="17">
        <f>COUNTIF('261014'!$C$18:$C$47,$C99)+COUNTIF('261014'!$I$18:$I$47,$C99)</f>
        <v>0</v>
      </c>
      <c r="S99" s="17">
        <f>COUNTIF('261015'!$C$18:$C$47,$C99)+COUNTIF('261015'!$I$18:$I$47,$C99)</f>
        <v>0</v>
      </c>
      <c r="T99" s="17">
        <f>COUNTIF('261016'!$C$18:$C$47,$C99)+COUNTIF('261016'!$I$18:$I$47,$C99)</f>
        <v>0</v>
      </c>
      <c r="U99" s="17">
        <f>COUNTIF('261017'!$C$18:$C$47,$C99)+COUNTIF('261017'!$I$18:$I$47,$C99)</f>
        <v>0</v>
      </c>
      <c r="V99" s="17">
        <f>COUNTIF('261018'!$C$18:$C$47,$C99)+COUNTIF('261018'!$I$18:$I$47,$C99)</f>
        <v>0</v>
      </c>
      <c r="W99" s="17">
        <f>COUNTIF('261019'!$C$18:$C$47,$C99)+COUNTIF('261019'!$I$18:$I$47,$C99)</f>
        <v>0</v>
      </c>
      <c r="X99" s="17">
        <f>COUNTIF('261020'!$C$18:$C$47,$C99)+COUNTIF('261020'!$I$18:$I$47,$C99)</f>
        <v>0</v>
      </c>
      <c r="Y99" s="17">
        <f>COUNTIF('261021'!$C$18:$C$47,$C99)+COUNTIF('261021'!$I$18:$I$47,$C99)</f>
        <v>0</v>
      </c>
      <c r="Z99" s="17">
        <f>COUNTIF('261022'!$C$18:$C$47,$C99)+COUNTIF('261022'!$I$18:$I$47,$C99)</f>
        <v>0</v>
      </c>
      <c r="AA99" s="17">
        <f>COUNTIF('261023'!$C$18:$C$47,$C99)+COUNTIF('261023'!$I$18:$I$47,$C99)</f>
        <v>0</v>
      </c>
      <c r="AB99" s="17">
        <f>COUNTIF('261024'!$C$18:$C$47,$C99)+COUNTIF('261024'!$I$18:$I$47,$C99)</f>
        <v>0</v>
      </c>
      <c r="AC99" s="17">
        <f>COUNTIF('261025'!$C$18:$C$47,$C99)+COUNTIF('261025'!$I$18:$I$47,$C99)</f>
        <v>0</v>
      </c>
      <c r="AD99" s="17">
        <f>COUNTIF('261026'!$C$18:$C$47,$C99)+COUNTIF('261026'!$I$18:$I$47,$C99)</f>
        <v>0</v>
      </c>
      <c r="AE99" s="17">
        <f>COUNTIF('261027'!$C$18:$C$47,$C99)+COUNTIF('261027'!$I$18:$I$47,$C99)</f>
        <v>0</v>
      </c>
      <c r="AF99" s="17">
        <f>COUNTIF('261028'!$C$18:$C$47,$C99)+COUNTIF('261028'!$I$18:$I$47,$C99)</f>
        <v>0</v>
      </c>
      <c r="AG99" s="17">
        <f>COUNTIF('261029'!$C$18:$C$47,$C99)+COUNTIF('261029'!$I$18:$I$47,$C99)</f>
        <v>0</v>
      </c>
      <c r="AH99" s="17">
        <f>COUNTIF('261030'!$C$18:$C$47,$C99)+COUNTIF('261030'!$I$18:$I$47,$C99)</f>
        <v>0</v>
      </c>
      <c r="AI99" s="17">
        <f>COUNTIF('261031'!$C$18:$C$47,$C99)+COUNTIF('261031'!$I$18:$I$47,$C99)</f>
        <v>0</v>
      </c>
      <c r="AJ99" s="108">
        <f t="shared" si="5"/>
        <v>0</v>
      </c>
      <c r="AL99" s="16"/>
      <c r="AM99" s="16"/>
    </row>
    <row r="100" spans="2:39" ht="20.100000000000001" customHeight="1" x14ac:dyDescent="0.3">
      <c r="B100" s="36">
        <f t="shared" si="2"/>
        <v>96</v>
      </c>
      <c r="C100" s="107"/>
      <c r="D100" s="19"/>
      <c r="E100" s="17">
        <f>COUNTIF('261001'!$C$18:$C$47,$C100)+COUNTIF('261001'!$I$18:$I$47,$C100)</f>
        <v>0</v>
      </c>
      <c r="F100" s="17">
        <f>COUNTIF('261002'!$C$18:$C$47,$C100)+COUNTIF('261002'!$I$18:$I$47,$C100)</f>
        <v>0</v>
      </c>
      <c r="G100" s="17">
        <f>COUNTIF('261003'!$C$18:$C$47,$C100)+COUNTIF('261003'!$I$18:$I$47,$C100)</f>
        <v>0</v>
      </c>
      <c r="H100" s="17">
        <f>COUNTIF('261004'!$C$18:$C$47,$C100)+COUNTIF('261004'!$I$18:$I$47,$C100)</f>
        <v>0</v>
      </c>
      <c r="I100" s="17">
        <f>COUNTIF('261005'!$C$18:$C$47,$C100)+COUNTIF('261005'!$I$18:$I$47,$C100)</f>
        <v>0</v>
      </c>
      <c r="J100" s="17">
        <f>COUNTIF('261006'!$C$18:$C$47,$C100)+COUNTIF('261006'!$I$18:$I$47,$C100)</f>
        <v>0</v>
      </c>
      <c r="K100" s="17">
        <f>COUNTIF('261007'!$C$18:$C$47,$C100)+COUNTIF('261007'!$I$18:$I$47,$C100)</f>
        <v>0</v>
      </c>
      <c r="L100" s="17">
        <f>COUNTIF('261008'!$C$18:$C$47,$C100)+COUNTIF('261008'!$I$18:$I$47,$C100)</f>
        <v>0</v>
      </c>
      <c r="M100" s="17">
        <f>COUNTIF('261009'!$C$18:$C$47,$C100)+COUNTIF('261009'!$I$18:$I$47,$C100)</f>
        <v>0</v>
      </c>
      <c r="N100" s="17">
        <f>COUNTIF('261010'!$C$18:$C$47,$C100)+COUNTIF('261010'!$I$18:$I$47,$C100)</f>
        <v>0</v>
      </c>
      <c r="O100" s="17">
        <f>COUNTIF('261011'!$C$18:$C$47,$C100)+COUNTIF('261011'!$I$18:$I$47,$C100)</f>
        <v>0</v>
      </c>
      <c r="P100" s="17">
        <f>COUNTIF('261012'!$C$18:$C$47,$C100)+COUNTIF('261012'!$I$18:$I$47,$C100)</f>
        <v>0</v>
      </c>
      <c r="Q100" s="17">
        <f>COUNTIF('261013'!$C$18:$C$47,$C100)+COUNTIF('261013'!$I$18:$I$47,$C100)</f>
        <v>0</v>
      </c>
      <c r="R100" s="17">
        <f>COUNTIF('261014'!$C$18:$C$47,$C100)+COUNTIF('261014'!$I$18:$I$47,$C100)</f>
        <v>0</v>
      </c>
      <c r="S100" s="17">
        <f>COUNTIF('261015'!$C$18:$C$47,$C100)+COUNTIF('261015'!$I$18:$I$47,$C100)</f>
        <v>0</v>
      </c>
      <c r="T100" s="17">
        <f>COUNTIF('261016'!$C$18:$C$47,$C100)+COUNTIF('261016'!$I$18:$I$47,$C100)</f>
        <v>0</v>
      </c>
      <c r="U100" s="17">
        <f>COUNTIF('261017'!$C$18:$C$47,$C100)+COUNTIF('261017'!$I$18:$I$47,$C100)</f>
        <v>0</v>
      </c>
      <c r="V100" s="17">
        <f>COUNTIF('261018'!$C$18:$C$47,$C100)+COUNTIF('261018'!$I$18:$I$47,$C100)</f>
        <v>0</v>
      </c>
      <c r="W100" s="17">
        <f>COUNTIF('261019'!$C$18:$C$47,$C100)+COUNTIF('261019'!$I$18:$I$47,$C100)</f>
        <v>0</v>
      </c>
      <c r="X100" s="17">
        <f>COUNTIF('261020'!$C$18:$C$47,$C100)+COUNTIF('261020'!$I$18:$I$47,$C100)</f>
        <v>0</v>
      </c>
      <c r="Y100" s="17">
        <f>COUNTIF('261021'!$C$18:$C$47,$C100)+COUNTIF('261021'!$I$18:$I$47,$C100)</f>
        <v>0</v>
      </c>
      <c r="Z100" s="17">
        <f>COUNTIF('261022'!$C$18:$C$47,$C100)+COUNTIF('261022'!$I$18:$I$47,$C100)</f>
        <v>0</v>
      </c>
      <c r="AA100" s="17">
        <f>COUNTIF('261023'!$C$18:$C$47,$C100)+COUNTIF('261023'!$I$18:$I$47,$C100)</f>
        <v>0</v>
      </c>
      <c r="AB100" s="17">
        <f>COUNTIF('261024'!$C$18:$C$47,$C100)+COUNTIF('261024'!$I$18:$I$47,$C100)</f>
        <v>0</v>
      </c>
      <c r="AC100" s="17">
        <f>COUNTIF('261025'!$C$18:$C$47,$C100)+COUNTIF('261025'!$I$18:$I$47,$C100)</f>
        <v>0</v>
      </c>
      <c r="AD100" s="17">
        <f>COUNTIF('261026'!$C$18:$C$47,$C100)+COUNTIF('261026'!$I$18:$I$47,$C100)</f>
        <v>0</v>
      </c>
      <c r="AE100" s="17">
        <f>COUNTIF('261027'!$C$18:$C$47,$C100)+COUNTIF('261027'!$I$18:$I$47,$C100)</f>
        <v>0</v>
      </c>
      <c r="AF100" s="17">
        <f>COUNTIF('261028'!$C$18:$C$47,$C100)+COUNTIF('261028'!$I$18:$I$47,$C100)</f>
        <v>0</v>
      </c>
      <c r="AG100" s="17">
        <f>COUNTIF('261029'!$C$18:$C$47,$C100)+COUNTIF('261029'!$I$18:$I$47,$C100)</f>
        <v>0</v>
      </c>
      <c r="AH100" s="17">
        <f>COUNTIF('261030'!$C$18:$C$47,$C100)+COUNTIF('261030'!$I$18:$I$47,$C100)</f>
        <v>0</v>
      </c>
      <c r="AI100" s="17">
        <f>COUNTIF('261031'!$C$18:$C$47,$C100)+COUNTIF('261031'!$I$18:$I$47,$C100)</f>
        <v>0</v>
      </c>
      <c r="AJ100" s="108">
        <f t="shared" si="5"/>
        <v>0</v>
      </c>
      <c r="AL100" s="16"/>
      <c r="AM100" s="16"/>
    </row>
    <row r="101" spans="2:39" ht="20.100000000000001" customHeight="1" x14ac:dyDescent="0.3">
      <c r="B101" s="36">
        <f t="shared" si="2"/>
        <v>97</v>
      </c>
      <c r="C101" s="107"/>
      <c r="D101" s="19"/>
      <c r="E101" s="17">
        <f>COUNTIF('261001'!$C$18:$C$47,$C101)+COUNTIF('261001'!$I$18:$I$47,$C101)</f>
        <v>0</v>
      </c>
      <c r="F101" s="17">
        <f>COUNTIF('261002'!$C$18:$C$47,$C101)+COUNTIF('261002'!$I$18:$I$47,$C101)</f>
        <v>0</v>
      </c>
      <c r="G101" s="17">
        <f>COUNTIF('261003'!$C$18:$C$47,$C101)+COUNTIF('261003'!$I$18:$I$47,$C101)</f>
        <v>0</v>
      </c>
      <c r="H101" s="17">
        <f>COUNTIF('261004'!$C$18:$C$47,$C101)+COUNTIF('261004'!$I$18:$I$47,$C101)</f>
        <v>0</v>
      </c>
      <c r="I101" s="17">
        <f>COUNTIF('261005'!$C$18:$C$47,$C101)+COUNTIF('261005'!$I$18:$I$47,$C101)</f>
        <v>0</v>
      </c>
      <c r="J101" s="17">
        <f>COUNTIF('261006'!$C$18:$C$47,$C101)+COUNTIF('261006'!$I$18:$I$47,$C101)</f>
        <v>0</v>
      </c>
      <c r="K101" s="17">
        <f>COUNTIF('261007'!$C$18:$C$47,$C101)+COUNTIF('261007'!$I$18:$I$47,$C101)</f>
        <v>0</v>
      </c>
      <c r="L101" s="17">
        <f>COUNTIF('261008'!$C$18:$C$47,$C101)+COUNTIF('261008'!$I$18:$I$47,$C101)</f>
        <v>0</v>
      </c>
      <c r="M101" s="17">
        <f>COUNTIF('261009'!$C$18:$C$47,$C101)+COUNTIF('261009'!$I$18:$I$47,$C101)</f>
        <v>0</v>
      </c>
      <c r="N101" s="17">
        <f>COUNTIF('261010'!$C$18:$C$47,$C101)+COUNTIF('261010'!$I$18:$I$47,$C101)</f>
        <v>0</v>
      </c>
      <c r="O101" s="17">
        <f>COUNTIF('261011'!$C$18:$C$47,$C101)+COUNTIF('261011'!$I$18:$I$47,$C101)</f>
        <v>0</v>
      </c>
      <c r="P101" s="17">
        <f>COUNTIF('261012'!$C$18:$C$47,$C101)+COUNTIF('261012'!$I$18:$I$47,$C101)</f>
        <v>0</v>
      </c>
      <c r="Q101" s="17">
        <f>COUNTIF('261013'!$C$18:$C$47,$C101)+COUNTIF('261013'!$I$18:$I$47,$C101)</f>
        <v>0</v>
      </c>
      <c r="R101" s="17">
        <f>COUNTIF('261014'!$C$18:$C$47,$C101)+COUNTIF('261014'!$I$18:$I$47,$C101)</f>
        <v>0</v>
      </c>
      <c r="S101" s="17">
        <f>COUNTIF('261015'!$C$18:$C$47,$C101)+COUNTIF('261015'!$I$18:$I$47,$C101)</f>
        <v>0</v>
      </c>
      <c r="T101" s="17">
        <f>COUNTIF('261016'!$C$18:$C$47,$C101)+COUNTIF('261016'!$I$18:$I$47,$C101)</f>
        <v>0</v>
      </c>
      <c r="U101" s="17">
        <f>COUNTIF('261017'!$C$18:$C$47,$C101)+COUNTIF('261017'!$I$18:$I$47,$C101)</f>
        <v>0</v>
      </c>
      <c r="V101" s="17">
        <f>COUNTIF('261018'!$C$18:$C$47,$C101)+COUNTIF('261018'!$I$18:$I$47,$C101)</f>
        <v>0</v>
      </c>
      <c r="W101" s="17">
        <f>COUNTIF('261019'!$C$18:$C$47,$C101)+COUNTIF('261019'!$I$18:$I$47,$C101)</f>
        <v>0</v>
      </c>
      <c r="X101" s="17">
        <f>COUNTIF('261020'!$C$18:$C$47,$C101)+COUNTIF('261020'!$I$18:$I$47,$C101)</f>
        <v>0</v>
      </c>
      <c r="Y101" s="17">
        <f>COUNTIF('261021'!$C$18:$C$47,$C101)+COUNTIF('261021'!$I$18:$I$47,$C101)</f>
        <v>0</v>
      </c>
      <c r="Z101" s="17">
        <f>COUNTIF('261022'!$C$18:$C$47,$C101)+COUNTIF('261022'!$I$18:$I$47,$C101)</f>
        <v>0</v>
      </c>
      <c r="AA101" s="17">
        <f>COUNTIF('261023'!$C$18:$C$47,$C101)+COUNTIF('261023'!$I$18:$I$47,$C101)</f>
        <v>0</v>
      </c>
      <c r="AB101" s="17">
        <f>COUNTIF('261024'!$C$18:$C$47,$C101)+COUNTIF('261024'!$I$18:$I$47,$C101)</f>
        <v>0</v>
      </c>
      <c r="AC101" s="17">
        <f>COUNTIF('261025'!$C$18:$C$47,$C101)+COUNTIF('261025'!$I$18:$I$47,$C101)</f>
        <v>0</v>
      </c>
      <c r="AD101" s="17">
        <f>COUNTIF('261026'!$C$18:$C$47,$C101)+COUNTIF('261026'!$I$18:$I$47,$C101)</f>
        <v>0</v>
      </c>
      <c r="AE101" s="17">
        <f>COUNTIF('261027'!$C$18:$C$47,$C101)+COUNTIF('261027'!$I$18:$I$47,$C101)</f>
        <v>0</v>
      </c>
      <c r="AF101" s="17">
        <f>COUNTIF('261028'!$C$18:$C$47,$C101)+COUNTIF('261028'!$I$18:$I$47,$C101)</f>
        <v>0</v>
      </c>
      <c r="AG101" s="17">
        <f>COUNTIF('261029'!$C$18:$C$47,$C101)+COUNTIF('261029'!$I$18:$I$47,$C101)</f>
        <v>0</v>
      </c>
      <c r="AH101" s="17">
        <f>COUNTIF('261030'!$C$18:$C$47,$C101)+COUNTIF('261030'!$I$18:$I$47,$C101)</f>
        <v>0</v>
      </c>
      <c r="AI101" s="17">
        <f>COUNTIF('261031'!$C$18:$C$47,$C101)+COUNTIF('261031'!$I$18:$I$47,$C101)</f>
        <v>0</v>
      </c>
      <c r="AJ101" s="108">
        <f t="shared" si="5"/>
        <v>0</v>
      </c>
      <c r="AL101" s="16"/>
      <c r="AM101" s="16"/>
    </row>
    <row r="102" spans="2:39" ht="20.100000000000001" customHeight="1" x14ac:dyDescent="0.3">
      <c r="B102" s="36">
        <f t="shared" si="2"/>
        <v>98</v>
      </c>
      <c r="C102" s="107"/>
      <c r="D102" s="19"/>
      <c r="E102" s="17">
        <f>COUNTIF('261001'!$C$18:$C$47,$C102)+COUNTIF('261001'!$I$18:$I$47,$C102)</f>
        <v>0</v>
      </c>
      <c r="F102" s="17">
        <f>COUNTIF('261002'!$C$18:$C$47,$C102)+COUNTIF('261002'!$I$18:$I$47,$C102)</f>
        <v>0</v>
      </c>
      <c r="G102" s="17">
        <f>COUNTIF('261003'!$C$18:$C$47,$C102)+COUNTIF('261003'!$I$18:$I$47,$C102)</f>
        <v>0</v>
      </c>
      <c r="H102" s="17">
        <f>COUNTIF('261004'!$C$18:$C$47,$C102)+COUNTIF('261004'!$I$18:$I$47,$C102)</f>
        <v>0</v>
      </c>
      <c r="I102" s="17">
        <f>COUNTIF('261005'!$C$18:$C$47,$C102)+COUNTIF('261005'!$I$18:$I$47,$C102)</f>
        <v>0</v>
      </c>
      <c r="J102" s="17">
        <f>COUNTIF('261006'!$C$18:$C$47,$C102)+COUNTIF('261006'!$I$18:$I$47,$C102)</f>
        <v>0</v>
      </c>
      <c r="K102" s="17">
        <f>COUNTIF('261007'!$C$18:$C$47,$C102)+COUNTIF('261007'!$I$18:$I$47,$C102)</f>
        <v>0</v>
      </c>
      <c r="L102" s="17">
        <f>COUNTIF('261008'!$C$18:$C$47,$C102)+COUNTIF('261008'!$I$18:$I$47,$C102)</f>
        <v>0</v>
      </c>
      <c r="M102" s="17">
        <f>COUNTIF('261009'!$C$18:$C$47,$C102)+COUNTIF('261009'!$I$18:$I$47,$C102)</f>
        <v>0</v>
      </c>
      <c r="N102" s="17">
        <f>COUNTIF('261010'!$C$18:$C$47,$C102)+COUNTIF('261010'!$I$18:$I$47,$C102)</f>
        <v>0</v>
      </c>
      <c r="O102" s="17">
        <f>COUNTIF('261011'!$C$18:$C$47,$C102)+COUNTIF('261011'!$I$18:$I$47,$C102)</f>
        <v>0</v>
      </c>
      <c r="P102" s="17">
        <f>COUNTIF('261012'!$C$18:$C$47,$C102)+COUNTIF('261012'!$I$18:$I$47,$C102)</f>
        <v>0</v>
      </c>
      <c r="Q102" s="17">
        <f>COUNTIF('261013'!$C$18:$C$47,$C102)+COUNTIF('261013'!$I$18:$I$47,$C102)</f>
        <v>0</v>
      </c>
      <c r="R102" s="17">
        <f>COUNTIF('261014'!$C$18:$C$47,$C102)+COUNTIF('261014'!$I$18:$I$47,$C102)</f>
        <v>0</v>
      </c>
      <c r="S102" s="17">
        <f>COUNTIF('261015'!$C$18:$C$47,$C102)+COUNTIF('261015'!$I$18:$I$47,$C102)</f>
        <v>0</v>
      </c>
      <c r="T102" s="17">
        <f>COUNTIF('261016'!$C$18:$C$47,$C102)+COUNTIF('261016'!$I$18:$I$47,$C102)</f>
        <v>0</v>
      </c>
      <c r="U102" s="17">
        <f>COUNTIF('261017'!$C$18:$C$47,$C102)+COUNTIF('261017'!$I$18:$I$47,$C102)</f>
        <v>0</v>
      </c>
      <c r="V102" s="17">
        <f>COUNTIF('261018'!$C$18:$C$47,$C102)+COUNTIF('261018'!$I$18:$I$47,$C102)</f>
        <v>0</v>
      </c>
      <c r="W102" s="17">
        <f>COUNTIF('261019'!$C$18:$C$47,$C102)+COUNTIF('261019'!$I$18:$I$47,$C102)</f>
        <v>0</v>
      </c>
      <c r="X102" s="17">
        <f>COUNTIF('261020'!$C$18:$C$47,$C102)+COUNTIF('261020'!$I$18:$I$47,$C102)</f>
        <v>0</v>
      </c>
      <c r="Y102" s="17">
        <f>COUNTIF('261021'!$C$18:$C$47,$C102)+COUNTIF('261021'!$I$18:$I$47,$C102)</f>
        <v>0</v>
      </c>
      <c r="Z102" s="17">
        <f>COUNTIF('261022'!$C$18:$C$47,$C102)+COUNTIF('261022'!$I$18:$I$47,$C102)</f>
        <v>0</v>
      </c>
      <c r="AA102" s="17">
        <f>COUNTIF('261023'!$C$18:$C$47,$C102)+COUNTIF('261023'!$I$18:$I$47,$C102)</f>
        <v>0</v>
      </c>
      <c r="AB102" s="17">
        <f>COUNTIF('261024'!$C$18:$C$47,$C102)+COUNTIF('261024'!$I$18:$I$47,$C102)</f>
        <v>0</v>
      </c>
      <c r="AC102" s="17">
        <f>COUNTIF('261025'!$C$18:$C$47,$C102)+COUNTIF('261025'!$I$18:$I$47,$C102)</f>
        <v>0</v>
      </c>
      <c r="AD102" s="17">
        <f>COUNTIF('261026'!$C$18:$C$47,$C102)+COUNTIF('261026'!$I$18:$I$47,$C102)</f>
        <v>0</v>
      </c>
      <c r="AE102" s="17">
        <f>COUNTIF('261027'!$C$18:$C$47,$C102)+COUNTIF('261027'!$I$18:$I$47,$C102)</f>
        <v>0</v>
      </c>
      <c r="AF102" s="17">
        <f>COUNTIF('261028'!$C$18:$C$47,$C102)+COUNTIF('261028'!$I$18:$I$47,$C102)</f>
        <v>0</v>
      </c>
      <c r="AG102" s="17">
        <f>COUNTIF('261029'!$C$18:$C$47,$C102)+COUNTIF('261029'!$I$18:$I$47,$C102)</f>
        <v>0</v>
      </c>
      <c r="AH102" s="17">
        <f>COUNTIF('261030'!$C$18:$C$47,$C102)+COUNTIF('261030'!$I$18:$I$47,$C102)</f>
        <v>0</v>
      </c>
      <c r="AI102" s="17">
        <f>COUNTIF('261031'!$C$18:$C$47,$C102)+COUNTIF('261031'!$I$18:$I$47,$C102)</f>
        <v>0</v>
      </c>
      <c r="AJ102" s="108">
        <f t="shared" si="5"/>
        <v>0</v>
      </c>
      <c r="AL102" s="16"/>
      <c r="AM102" s="16"/>
    </row>
    <row r="103" spans="2:39" ht="20.100000000000001" customHeight="1" x14ac:dyDescent="0.3">
      <c r="B103" s="36">
        <f t="shared" si="2"/>
        <v>99</v>
      </c>
      <c r="C103" s="107"/>
      <c r="D103" s="19"/>
      <c r="E103" s="17">
        <f>COUNTIF('261001'!$C$18:$C$47,$C103)+COUNTIF('261001'!$I$18:$I$47,$C103)</f>
        <v>0</v>
      </c>
      <c r="F103" s="17">
        <f>COUNTIF('261002'!$C$18:$C$47,$C103)+COUNTIF('261002'!$I$18:$I$47,$C103)</f>
        <v>0</v>
      </c>
      <c r="G103" s="17">
        <f>COUNTIF('261003'!$C$18:$C$47,$C103)+COUNTIF('261003'!$I$18:$I$47,$C103)</f>
        <v>0</v>
      </c>
      <c r="H103" s="17">
        <f>COUNTIF('261004'!$C$18:$C$47,$C103)+COUNTIF('261004'!$I$18:$I$47,$C103)</f>
        <v>0</v>
      </c>
      <c r="I103" s="17">
        <f>COUNTIF('261005'!$C$18:$C$47,$C103)+COUNTIF('261005'!$I$18:$I$47,$C103)</f>
        <v>0</v>
      </c>
      <c r="J103" s="17">
        <f>COUNTIF('261006'!$C$18:$C$47,$C103)+COUNTIF('261006'!$I$18:$I$47,$C103)</f>
        <v>0</v>
      </c>
      <c r="K103" s="17">
        <f>COUNTIF('261007'!$C$18:$C$47,$C103)+COUNTIF('261007'!$I$18:$I$47,$C103)</f>
        <v>0</v>
      </c>
      <c r="L103" s="17">
        <f>COUNTIF('261008'!$C$18:$C$47,$C103)+COUNTIF('261008'!$I$18:$I$47,$C103)</f>
        <v>0</v>
      </c>
      <c r="M103" s="17">
        <f>COUNTIF('261009'!$C$18:$C$47,$C103)+COUNTIF('261009'!$I$18:$I$47,$C103)</f>
        <v>0</v>
      </c>
      <c r="N103" s="17">
        <f>COUNTIF('261010'!$C$18:$C$47,$C103)+COUNTIF('261010'!$I$18:$I$47,$C103)</f>
        <v>0</v>
      </c>
      <c r="O103" s="17">
        <f>COUNTIF('261011'!$C$18:$C$47,$C103)+COUNTIF('261011'!$I$18:$I$47,$C103)</f>
        <v>0</v>
      </c>
      <c r="P103" s="17">
        <f>COUNTIF('261012'!$C$18:$C$47,$C103)+COUNTIF('261012'!$I$18:$I$47,$C103)</f>
        <v>0</v>
      </c>
      <c r="Q103" s="17">
        <f>COUNTIF('261013'!$C$18:$C$47,$C103)+COUNTIF('261013'!$I$18:$I$47,$C103)</f>
        <v>0</v>
      </c>
      <c r="R103" s="17">
        <f>COUNTIF('261014'!$C$18:$C$47,$C103)+COUNTIF('261014'!$I$18:$I$47,$C103)</f>
        <v>0</v>
      </c>
      <c r="S103" s="17">
        <f>COUNTIF('261015'!$C$18:$C$47,$C103)+COUNTIF('261015'!$I$18:$I$47,$C103)</f>
        <v>0</v>
      </c>
      <c r="T103" s="17">
        <f>COUNTIF('261016'!$C$18:$C$47,$C103)+COUNTIF('261016'!$I$18:$I$47,$C103)</f>
        <v>0</v>
      </c>
      <c r="U103" s="17">
        <f>COUNTIF('261017'!$C$18:$C$47,$C103)+COUNTIF('261017'!$I$18:$I$47,$C103)</f>
        <v>0</v>
      </c>
      <c r="V103" s="17">
        <f>COUNTIF('261018'!$C$18:$C$47,$C103)+COUNTIF('261018'!$I$18:$I$47,$C103)</f>
        <v>0</v>
      </c>
      <c r="W103" s="17">
        <f>COUNTIF('261019'!$C$18:$C$47,$C103)+COUNTIF('261019'!$I$18:$I$47,$C103)</f>
        <v>0</v>
      </c>
      <c r="X103" s="17">
        <f>COUNTIF('261020'!$C$18:$C$47,$C103)+COUNTIF('261020'!$I$18:$I$47,$C103)</f>
        <v>0</v>
      </c>
      <c r="Y103" s="17">
        <f>COUNTIF('261021'!$C$18:$C$47,$C103)+COUNTIF('261021'!$I$18:$I$47,$C103)</f>
        <v>0</v>
      </c>
      <c r="Z103" s="17">
        <f>COUNTIF('261022'!$C$18:$C$47,$C103)+COUNTIF('261022'!$I$18:$I$47,$C103)</f>
        <v>0</v>
      </c>
      <c r="AA103" s="17">
        <f>COUNTIF('261023'!$C$18:$C$47,$C103)+COUNTIF('261023'!$I$18:$I$47,$C103)</f>
        <v>0</v>
      </c>
      <c r="AB103" s="17">
        <f>COUNTIF('261024'!$C$18:$C$47,$C103)+COUNTIF('261024'!$I$18:$I$47,$C103)</f>
        <v>0</v>
      </c>
      <c r="AC103" s="17">
        <f>COUNTIF('261025'!$C$18:$C$47,$C103)+COUNTIF('261025'!$I$18:$I$47,$C103)</f>
        <v>0</v>
      </c>
      <c r="AD103" s="17">
        <f>COUNTIF('261026'!$C$18:$C$47,$C103)+COUNTIF('261026'!$I$18:$I$47,$C103)</f>
        <v>0</v>
      </c>
      <c r="AE103" s="17">
        <f>COUNTIF('261027'!$C$18:$C$47,$C103)+COUNTIF('261027'!$I$18:$I$47,$C103)</f>
        <v>0</v>
      </c>
      <c r="AF103" s="17">
        <f>COUNTIF('261028'!$C$18:$C$47,$C103)+COUNTIF('261028'!$I$18:$I$47,$C103)</f>
        <v>0</v>
      </c>
      <c r="AG103" s="17">
        <f>COUNTIF('261029'!$C$18:$C$47,$C103)+COUNTIF('261029'!$I$18:$I$47,$C103)</f>
        <v>0</v>
      </c>
      <c r="AH103" s="17">
        <f>COUNTIF('261030'!$C$18:$C$47,$C103)+COUNTIF('261030'!$I$18:$I$47,$C103)</f>
        <v>0</v>
      </c>
      <c r="AI103" s="17">
        <f>COUNTIF('261031'!$C$18:$C$47,$C103)+COUNTIF('261031'!$I$18:$I$47,$C103)</f>
        <v>0</v>
      </c>
      <c r="AJ103" s="108">
        <f t="shared" si="5"/>
        <v>0</v>
      </c>
      <c r="AL103" s="16"/>
      <c r="AM103" s="16"/>
    </row>
    <row r="104" spans="2:39" ht="20.100000000000001" customHeight="1" x14ac:dyDescent="0.3">
      <c r="B104" s="36">
        <f t="shared" ref="B104:B167" si="6">B103+1</f>
        <v>100</v>
      </c>
      <c r="C104" s="107"/>
      <c r="D104" s="19"/>
      <c r="E104" s="17">
        <f>COUNTIF('261001'!$C$18:$C$47,$C104)+COUNTIF('261001'!$I$18:$I$47,$C104)</f>
        <v>0</v>
      </c>
      <c r="F104" s="17">
        <f>COUNTIF('261002'!$C$18:$C$47,$C104)+COUNTIF('261002'!$I$18:$I$47,$C104)</f>
        <v>0</v>
      </c>
      <c r="G104" s="17">
        <f>COUNTIF('261003'!$C$18:$C$47,$C104)+COUNTIF('261003'!$I$18:$I$47,$C104)</f>
        <v>0</v>
      </c>
      <c r="H104" s="17">
        <f>COUNTIF('261004'!$C$18:$C$47,$C104)+COUNTIF('261004'!$I$18:$I$47,$C104)</f>
        <v>0</v>
      </c>
      <c r="I104" s="17">
        <f>COUNTIF('261005'!$C$18:$C$47,$C104)+COUNTIF('261005'!$I$18:$I$47,$C104)</f>
        <v>0</v>
      </c>
      <c r="J104" s="17">
        <f>COUNTIF('261006'!$C$18:$C$47,$C104)+COUNTIF('261006'!$I$18:$I$47,$C104)</f>
        <v>0</v>
      </c>
      <c r="K104" s="17">
        <f>COUNTIF('261007'!$C$18:$C$47,$C104)+COUNTIF('261007'!$I$18:$I$47,$C104)</f>
        <v>0</v>
      </c>
      <c r="L104" s="17">
        <f>COUNTIF('261008'!$C$18:$C$47,$C104)+COUNTIF('261008'!$I$18:$I$47,$C104)</f>
        <v>0</v>
      </c>
      <c r="M104" s="17">
        <f>COUNTIF('261009'!$C$18:$C$47,$C104)+COUNTIF('261009'!$I$18:$I$47,$C104)</f>
        <v>0</v>
      </c>
      <c r="N104" s="17">
        <f>COUNTIF('261010'!$C$18:$C$47,$C104)+COUNTIF('261010'!$I$18:$I$47,$C104)</f>
        <v>0</v>
      </c>
      <c r="O104" s="17">
        <f>COUNTIF('261011'!$C$18:$C$47,$C104)+COUNTIF('261011'!$I$18:$I$47,$C104)</f>
        <v>0</v>
      </c>
      <c r="P104" s="17">
        <f>COUNTIF('261012'!$C$18:$C$47,$C104)+COUNTIF('261012'!$I$18:$I$47,$C104)</f>
        <v>0</v>
      </c>
      <c r="Q104" s="17">
        <f>COUNTIF('261013'!$C$18:$C$47,$C104)+COUNTIF('261013'!$I$18:$I$47,$C104)</f>
        <v>0</v>
      </c>
      <c r="R104" s="17">
        <f>COUNTIF('261014'!$C$18:$C$47,$C104)+COUNTIF('261014'!$I$18:$I$47,$C104)</f>
        <v>0</v>
      </c>
      <c r="S104" s="17">
        <f>COUNTIF('261015'!$C$18:$C$47,$C104)+COUNTIF('261015'!$I$18:$I$47,$C104)</f>
        <v>0</v>
      </c>
      <c r="T104" s="17">
        <f>COUNTIF('261016'!$C$18:$C$47,$C104)+COUNTIF('261016'!$I$18:$I$47,$C104)</f>
        <v>0</v>
      </c>
      <c r="U104" s="17">
        <f>COUNTIF('261017'!$C$18:$C$47,$C104)+COUNTIF('261017'!$I$18:$I$47,$C104)</f>
        <v>0</v>
      </c>
      <c r="V104" s="17">
        <f>COUNTIF('261018'!$C$18:$C$47,$C104)+COUNTIF('261018'!$I$18:$I$47,$C104)</f>
        <v>0</v>
      </c>
      <c r="W104" s="17">
        <f>COUNTIF('261019'!$C$18:$C$47,$C104)+COUNTIF('261019'!$I$18:$I$47,$C104)</f>
        <v>0</v>
      </c>
      <c r="X104" s="17">
        <f>COUNTIF('261020'!$C$18:$C$47,$C104)+COUNTIF('261020'!$I$18:$I$47,$C104)</f>
        <v>0</v>
      </c>
      <c r="Y104" s="17">
        <f>COUNTIF('261021'!$C$18:$C$47,$C104)+COUNTIF('261021'!$I$18:$I$47,$C104)</f>
        <v>0</v>
      </c>
      <c r="Z104" s="17">
        <f>COUNTIF('261022'!$C$18:$C$47,$C104)+COUNTIF('261022'!$I$18:$I$47,$C104)</f>
        <v>0</v>
      </c>
      <c r="AA104" s="17">
        <f>COUNTIF('261023'!$C$18:$C$47,$C104)+COUNTIF('261023'!$I$18:$I$47,$C104)</f>
        <v>0</v>
      </c>
      <c r="AB104" s="17">
        <f>COUNTIF('261024'!$C$18:$C$47,$C104)+COUNTIF('261024'!$I$18:$I$47,$C104)</f>
        <v>0</v>
      </c>
      <c r="AC104" s="17">
        <f>COUNTIF('261025'!$C$18:$C$47,$C104)+COUNTIF('261025'!$I$18:$I$47,$C104)</f>
        <v>0</v>
      </c>
      <c r="AD104" s="17">
        <f>COUNTIF('261026'!$C$18:$C$47,$C104)+COUNTIF('261026'!$I$18:$I$47,$C104)</f>
        <v>0</v>
      </c>
      <c r="AE104" s="17">
        <f>COUNTIF('261027'!$C$18:$C$47,$C104)+COUNTIF('261027'!$I$18:$I$47,$C104)</f>
        <v>0</v>
      </c>
      <c r="AF104" s="17">
        <f>COUNTIF('261028'!$C$18:$C$47,$C104)+COUNTIF('261028'!$I$18:$I$47,$C104)</f>
        <v>0</v>
      </c>
      <c r="AG104" s="17">
        <f>COUNTIF('261029'!$C$18:$C$47,$C104)+COUNTIF('261029'!$I$18:$I$47,$C104)</f>
        <v>0</v>
      </c>
      <c r="AH104" s="17">
        <f>COUNTIF('261030'!$C$18:$C$47,$C104)+COUNTIF('261030'!$I$18:$I$47,$C104)</f>
        <v>0</v>
      </c>
      <c r="AI104" s="17">
        <f>COUNTIF('261031'!$C$18:$C$47,$C104)+COUNTIF('261031'!$I$18:$I$47,$C104)</f>
        <v>0</v>
      </c>
      <c r="AJ104" s="108">
        <f t="shared" si="5"/>
        <v>0</v>
      </c>
      <c r="AL104" s="16"/>
      <c r="AM104" s="16"/>
    </row>
    <row r="105" spans="2:39" ht="20.100000000000001" customHeight="1" x14ac:dyDescent="0.3">
      <c r="B105" s="36">
        <f t="shared" si="6"/>
        <v>101</v>
      </c>
      <c r="C105" s="107"/>
      <c r="D105" s="19"/>
      <c r="E105" s="17">
        <f>COUNTIF('261001'!$C$18:$C$47,$C105)+COUNTIF('261001'!$I$18:$I$47,$C105)</f>
        <v>0</v>
      </c>
      <c r="F105" s="17">
        <f>COUNTIF('261002'!$C$18:$C$47,$C105)+COUNTIF('261002'!$I$18:$I$47,$C105)</f>
        <v>0</v>
      </c>
      <c r="G105" s="17">
        <f>COUNTIF('261003'!$C$18:$C$47,$C105)+COUNTIF('261003'!$I$18:$I$47,$C105)</f>
        <v>0</v>
      </c>
      <c r="H105" s="17">
        <f>COUNTIF('261004'!$C$18:$C$47,$C105)+COUNTIF('261004'!$I$18:$I$47,$C105)</f>
        <v>0</v>
      </c>
      <c r="I105" s="17">
        <f>COUNTIF('261005'!$C$18:$C$47,$C105)+COUNTIF('261005'!$I$18:$I$47,$C105)</f>
        <v>0</v>
      </c>
      <c r="J105" s="17">
        <f>COUNTIF('261006'!$C$18:$C$47,$C105)+COUNTIF('261006'!$I$18:$I$47,$C105)</f>
        <v>0</v>
      </c>
      <c r="K105" s="17">
        <f>COUNTIF('261007'!$C$18:$C$47,$C105)+COUNTIF('261007'!$I$18:$I$47,$C105)</f>
        <v>0</v>
      </c>
      <c r="L105" s="17">
        <f>COUNTIF('261008'!$C$18:$C$47,$C105)+COUNTIF('261008'!$I$18:$I$47,$C105)</f>
        <v>0</v>
      </c>
      <c r="M105" s="17">
        <f>COUNTIF('261009'!$C$18:$C$47,$C105)+COUNTIF('261009'!$I$18:$I$47,$C105)</f>
        <v>0</v>
      </c>
      <c r="N105" s="17">
        <f>COUNTIF('261010'!$C$18:$C$47,$C105)+COUNTIF('261010'!$I$18:$I$47,$C105)</f>
        <v>0</v>
      </c>
      <c r="O105" s="17">
        <f>COUNTIF('261011'!$C$18:$C$47,$C105)+COUNTIF('261011'!$I$18:$I$47,$C105)</f>
        <v>0</v>
      </c>
      <c r="P105" s="17">
        <f>COUNTIF('261012'!$C$18:$C$47,$C105)+COUNTIF('261012'!$I$18:$I$47,$C105)</f>
        <v>0</v>
      </c>
      <c r="Q105" s="17">
        <f>COUNTIF('261013'!$C$18:$C$47,$C105)+COUNTIF('261013'!$I$18:$I$47,$C105)</f>
        <v>0</v>
      </c>
      <c r="R105" s="17">
        <f>COUNTIF('261014'!$C$18:$C$47,$C105)+COUNTIF('261014'!$I$18:$I$47,$C105)</f>
        <v>0</v>
      </c>
      <c r="S105" s="17">
        <f>COUNTIF('261015'!$C$18:$C$47,$C105)+COUNTIF('261015'!$I$18:$I$47,$C105)</f>
        <v>0</v>
      </c>
      <c r="T105" s="17">
        <f>COUNTIF('261016'!$C$18:$C$47,$C105)+COUNTIF('261016'!$I$18:$I$47,$C105)</f>
        <v>0</v>
      </c>
      <c r="U105" s="17">
        <f>COUNTIF('261017'!$C$18:$C$47,$C105)+COUNTIF('261017'!$I$18:$I$47,$C105)</f>
        <v>0</v>
      </c>
      <c r="V105" s="17">
        <f>COUNTIF('261018'!$C$18:$C$47,$C105)+COUNTIF('261018'!$I$18:$I$47,$C105)</f>
        <v>0</v>
      </c>
      <c r="W105" s="17">
        <f>COUNTIF('261019'!$C$18:$C$47,$C105)+COUNTIF('261019'!$I$18:$I$47,$C105)</f>
        <v>0</v>
      </c>
      <c r="X105" s="17">
        <f>COUNTIF('261020'!$C$18:$C$47,$C105)+COUNTIF('261020'!$I$18:$I$47,$C105)</f>
        <v>0</v>
      </c>
      <c r="Y105" s="17">
        <f>COUNTIF('261021'!$C$18:$C$47,$C105)+COUNTIF('261021'!$I$18:$I$47,$C105)</f>
        <v>0</v>
      </c>
      <c r="Z105" s="17">
        <f>COUNTIF('261022'!$C$18:$C$47,$C105)+COUNTIF('261022'!$I$18:$I$47,$C105)</f>
        <v>0</v>
      </c>
      <c r="AA105" s="17">
        <f>COUNTIF('261023'!$C$18:$C$47,$C105)+COUNTIF('261023'!$I$18:$I$47,$C105)</f>
        <v>0</v>
      </c>
      <c r="AB105" s="17">
        <f>COUNTIF('261024'!$C$18:$C$47,$C105)+COUNTIF('261024'!$I$18:$I$47,$C105)</f>
        <v>0</v>
      </c>
      <c r="AC105" s="17">
        <f>COUNTIF('261025'!$C$18:$C$47,$C105)+COUNTIF('261025'!$I$18:$I$47,$C105)</f>
        <v>0</v>
      </c>
      <c r="AD105" s="17">
        <f>COUNTIF('261026'!$C$18:$C$47,$C105)+COUNTIF('261026'!$I$18:$I$47,$C105)</f>
        <v>0</v>
      </c>
      <c r="AE105" s="17">
        <f>COUNTIF('261027'!$C$18:$C$47,$C105)+COUNTIF('261027'!$I$18:$I$47,$C105)</f>
        <v>0</v>
      </c>
      <c r="AF105" s="17">
        <f>COUNTIF('261028'!$C$18:$C$47,$C105)+COUNTIF('261028'!$I$18:$I$47,$C105)</f>
        <v>0</v>
      </c>
      <c r="AG105" s="17">
        <f>COUNTIF('261029'!$C$18:$C$47,$C105)+COUNTIF('261029'!$I$18:$I$47,$C105)</f>
        <v>0</v>
      </c>
      <c r="AH105" s="17">
        <f>COUNTIF('261030'!$C$18:$C$47,$C105)+COUNTIF('261030'!$I$18:$I$47,$C105)</f>
        <v>0</v>
      </c>
      <c r="AI105" s="17">
        <f>COUNTIF('261031'!$C$18:$C$47,$C105)+COUNTIF('261031'!$I$18:$I$47,$C105)</f>
        <v>0</v>
      </c>
      <c r="AJ105" s="108">
        <f t="shared" si="5"/>
        <v>0</v>
      </c>
      <c r="AL105" s="16"/>
      <c r="AM105" s="16"/>
    </row>
    <row r="106" spans="2:39" ht="20.100000000000001" customHeight="1" x14ac:dyDescent="0.3">
      <c r="B106" s="36">
        <f t="shared" si="6"/>
        <v>102</v>
      </c>
      <c r="C106" s="107"/>
      <c r="D106" s="19"/>
      <c r="E106" s="17">
        <f>COUNTIF('261001'!$C$18:$C$47,$C106)+COUNTIF('261001'!$I$18:$I$47,$C106)</f>
        <v>0</v>
      </c>
      <c r="F106" s="17">
        <f>COUNTIF('261002'!$C$18:$C$47,$C106)+COUNTIF('261002'!$I$18:$I$47,$C106)</f>
        <v>0</v>
      </c>
      <c r="G106" s="17">
        <f>COUNTIF('261003'!$C$18:$C$47,$C106)+COUNTIF('261003'!$I$18:$I$47,$C106)</f>
        <v>0</v>
      </c>
      <c r="H106" s="17">
        <f>COUNTIF('261004'!$C$18:$C$47,$C106)+COUNTIF('261004'!$I$18:$I$47,$C106)</f>
        <v>0</v>
      </c>
      <c r="I106" s="17">
        <f>COUNTIF('261005'!$C$18:$C$47,$C106)+COUNTIF('261005'!$I$18:$I$47,$C106)</f>
        <v>0</v>
      </c>
      <c r="J106" s="17">
        <f>COUNTIF('261006'!$C$18:$C$47,$C106)+COUNTIF('261006'!$I$18:$I$47,$C106)</f>
        <v>0</v>
      </c>
      <c r="K106" s="17">
        <f>COUNTIF('261007'!$C$18:$C$47,$C106)+COUNTIF('261007'!$I$18:$I$47,$C106)</f>
        <v>0</v>
      </c>
      <c r="L106" s="17">
        <f>COUNTIF('261008'!$C$18:$C$47,$C106)+COUNTIF('261008'!$I$18:$I$47,$C106)</f>
        <v>0</v>
      </c>
      <c r="M106" s="17">
        <f>COUNTIF('261009'!$C$18:$C$47,$C106)+COUNTIF('261009'!$I$18:$I$47,$C106)</f>
        <v>0</v>
      </c>
      <c r="N106" s="17">
        <f>COUNTIF('261010'!$C$18:$C$47,$C106)+COUNTIF('261010'!$I$18:$I$47,$C106)</f>
        <v>0</v>
      </c>
      <c r="O106" s="17">
        <f>COUNTIF('261011'!$C$18:$C$47,$C106)+COUNTIF('261011'!$I$18:$I$47,$C106)</f>
        <v>0</v>
      </c>
      <c r="P106" s="17">
        <f>COUNTIF('261012'!$C$18:$C$47,$C106)+COUNTIF('261012'!$I$18:$I$47,$C106)</f>
        <v>0</v>
      </c>
      <c r="Q106" s="17">
        <f>COUNTIF('261013'!$C$18:$C$47,$C106)+COUNTIF('261013'!$I$18:$I$47,$C106)</f>
        <v>0</v>
      </c>
      <c r="R106" s="17">
        <f>COUNTIF('261014'!$C$18:$C$47,$C106)+COUNTIF('261014'!$I$18:$I$47,$C106)</f>
        <v>0</v>
      </c>
      <c r="S106" s="17">
        <f>COUNTIF('261015'!$C$18:$C$47,$C106)+COUNTIF('261015'!$I$18:$I$47,$C106)</f>
        <v>0</v>
      </c>
      <c r="T106" s="17">
        <f>COUNTIF('261016'!$C$18:$C$47,$C106)+COUNTIF('261016'!$I$18:$I$47,$C106)</f>
        <v>0</v>
      </c>
      <c r="U106" s="17">
        <f>COUNTIF('261017'!$C$18:$C$47,$C106)+COUNTIF('261017'!$I$18:$I$47,$C106)</f>
        <v>0</v>
      </c>
      <c r="V106" s="17">
        <f>COUNTIF('261018'!$C$18:$C$47,$C106)+COUNTIF('261018'!$I$18:$I$47,$C106)</f>
        <v>0</v>
      </c>
      <c r="W106" s="17">
        <f>COUNTIF('261019'!$C$18:$C$47,$C106)+COUNTIF('261019'!$I$18:$I$47,$C106)</f>
        <v>0</v>
      </c>
      <c r="X106" s="17">
        <f>COUNTIF('261020'!$C$18:$C$47,$C106)+COUNTIF('261020'!$I$18:$I$47,$C106)</f>
        <v>0</v>
      </c>
      <c r="Y106" s="17">
        <f>COUNTIF('261021'!$C$18:$C$47,$C106)+COUNTIF('261021'!$I$18:$I$47,$C106)</f>
        <v>0</v>
      </c>
      <c r="Z106" s="17">
        <f>COUNTIF('261022'!$C$18:$C$47,$C106)+COUNTIF('261022'!$I$18:$I$47,$C106)</f>
        <v>0</v>
      </c>
      <c r="AA106" s="17">
        <f>COUNTIF('261023'!$C$18:$C$47,$C106)+COUNTIF('261023'!$I$18:$I$47,$C106)</f>
        <v>0</v>
      </c>
      <c r="AB106" s="17">
        <f>COUNTIF('261024'!$C$18:$C$47,$C106)+COUNTIF('261024'!$I$18:$I$47,$C106)</f>
        <v>0</v>
      </c>
      <c r="AC106" s="17">
        <f>COUNTIF('261025'!$C$18:$C$47,$C106)+COUNTIF('261025'!$I$18:$I$47,$C106)</f>
        <v>0</v>
      </c>
      <c r="AD106" s="17">
        <f>COUNTIF('261026'!$C$18:$C$47,$C106)+COUNTIF('261026'!$I$18:$I$47,$C106)</f>
        <v>0</v>
      </c>
      <c r="AE106" s="17">
        <f>COUNTIF('261027'!$C$18:$C$47,$C106)+COUNTIF('261027'!$I$18:$I$47,$C106)</f>
        <v>0</v>
      </c>
      <c r="AF106" s="17">
        <f>COUNTIF('261028'!$C$18:$C$47,$C106)+COUNTIF('261028'!$I$18:$I$47,$C106)</f>
        <v>0</v>
      </c>
      <c r="AG106" s="17">
        <f>COUNTIF('261029'!$C$18:$C$47,$C106)+COUNTIF('261029'!$I$18:$I$47,$C106)</f>
        <v>0</v>
      </c>
      <c r="AH106" s="17">
        <f>COUNTIF('261030'!$C$18:$C$47,$C106)+COUNTIF('261030'!$I$18:$I$47,$C106)</f>
        <v>0</v>
      </c>
      <c r="AI106" s="17">
        <f>COUNTIF('261031'!$C$18:$C$47,$C106)+COUNTIF('261031'!$I$18:$I$47,$C106)</f>
        <v>0</v>
      </c>
      <c r="AJ106" s="108">
        <f t="shared" si="5"/>
        <v>0</v>
      </c>
      <c r="AL106" s="16"/>
      <c r="AM106" s="16"/>
    </row>
    <row r="107" spans="2:39" ht="20.100000000000001" customHeight="1" x14ac:dyDescent="0.3">
      <c r="B107" s="36">
        <f t="shared" si="6"/>
        <v>103</v>
      </c>
      <c r="C107" s="107"/>
      <c r="D107" s="19"/>
      <c r="E107" s="17">
        <f>COUNTIF('261001'!$C$18:$C$47,$C107)+COUNTIF('261001'!$I$18:$I$47,$C107)</f>
        <v>0</v>
      </c>
      <c r="F107" s="17">
        <f>COUNTIF('261002'!$C$18:$C$47,$C107)+COUNTIF('261002'!$I$18:$I$47,$C107)</f>
        <v>0</v>
      </c>
      <c r="G107" s="17">
        <f>COUNTIF('261003'!$C$18:$C$47,$C107)+COUNTIF('261003'!$I$18:$I$47,$C107)</f>
        <v>0</v>
      </c>
      <c r="H107" s="17">
        <f>COUNTIF('261004'!$C$18:$C$47,$C107)+COUNTIF('261004'!$I$18:$I$47,$C107)</f>
        <v>0</v>
      </c>
      <c r="I107" s="17">
        <f>COUNTIF('261005'!$C$18:$C$47,$C107)+COUNTIF('261005'!$I$18:$I$47,$C107)</f>
        <v>0</v>
      </c>
      <c r="J107" s="17">
        <f>COUNTIF('261006'!$C$18:$C$47,$C107)+COUNTIF('261006'!$I$18:$I$47,$C107)</f>
        <v>0</v>
      </c>
      <c r="K107" s="17">
        <f>COUNTIF('261007'!$C$18:$C$47,$C107)+COUNTIF('261007'!$I$18:$I$47,$C107)</f>
        <v>0</v>
      </c>
      <c r="L107" s="17">
        <f>COUNTIF('261008'!$C$18:$C$47,$C107)+COUNTIF('261008'!$I$18:$I$47,$C107)</f>
        <v>0</v>
      </c>
      <c r="M107" s="17">
        <f>COUNTIF('261009'!$C$18:$C$47,$C107)+COUNTIF('261009'!$I$18:$I$47,$C107)</f>
        <v>0</v>
      </c>
      <c r="N107" s="17">
        <f>COUNTIF('261010'!$C$18:$C$47,$C107)+COUNTIF('261010'!$I$18:$I$47,$C107)</f>
        <v>0</v>
      </c>
      <c r="O107" s="17">
        <f>COUNTIF('261011'!$C$18:$C$47,$C107)+COUNTIF('261011'!$I$18:$I$47,$C107)</f>
        <v>0</v>
      </c>
      <c r="P107" s="17">
        <f>COUNTIF('261012'!$C$18:$C$47,$C107)+COUNTIF('261012'!$I$18:$I$47,$C107)</f>
        <v>0</v>
      </c>
      <c r="Q107" s="17">
        <f>COUNTIF('261013'!$C$18:$C$47,$C107)+COUNTIF('261013'!$I$18:$I$47,$C107)</f>
        <v>0</v>
      </c>
      <c r="R107" s="17">
        <f>COUNTIF('261014'!$C$18:$C$47,$C107)+COUNTIF('261014'!$I$18:$I$47,$C107)</f>
        <v>0</v>
      </c>
      <c r="S107" s="17">
        <f>COUNTIF('261015'!$C$18:$C$47,$C107)+COUNTIF('261015'!$I$18:$I$47,$C107)</f>
        <v>0</v>
      </c>
      <c r="T107" s="17">
        <f>COUNTIF('261016'!$C$18:$C$47,$C107)+COUNTIF('261016'!$I$18:$I$47,$C107)</f>
        <v>0</v>
      </c>
      <c r="U107" s="17">
        <f>COUNTIF('261017'!$C$18:$C$47,$C107)+COUNTIF('261017'!$I$18:$I$47,$C107)</f>
        <v>0</v>
      </c>
      <c r="V107" s="17">
        <f>COUNTIF('261018'!$C$18:$C$47,$C107)+COUNTIF('261018'!$I$18:$I$47,$C107)</f>
        <v>0</v>
      </c>
      <c r="W107" s="17">
        <f>COUNTIF('261019'!$C$18:$C$47,$C107)+COUNTIF('261019'!$I$18:$I$47,$C107)</f>
        <v>0</v>
      </c>
      <c r="X107" s="17">
        <f>COUNTIF('261020'!$C$18:$C$47,$C107)+COUNTIF('261020'!$I$18:$I$47,$C107)</f>
        <v>0</v>
      </c>
      <c r="Y107" s="17">
        <f>COUNTIF('261021'!$C$18:$C$47,$C107)+COUNTIF('261021'!$I$18:$I$47,$C107)</f>
        <v>0</v>
      </c>
      <c r="Z107" s="17">
        <f>COUNTIF('261022'!$C$18:$C$47,$C107)+COUNTIF('261022'!$I$18:$I$47,$C107)</f>
        <v>0</v>
      </c>
      <c r="AA107" s="17">
        <f>COUNTIF('261023'!$C$18:$C$47,$C107)+COUNTIF('261023'!$I$18:$I$47,$C107)</f>
        <v>0</v>
      </c>
      <c r="AB107" s="17">
        <f>COUNTIF('261024'!$C$18:$C$47,$C107)+COUNTIF('261024'!$I$18:$I$47,$C107)</f>
        <v>0</v>
      </c>
      <c r="AC107" s="17">
        <f>COUNTIF('261025'!$C$18:$C$47,$C107)+COUNTIF('261025'!$I$18:$I$47,$C107)</f>
        <v>0</v>
      </c>
      <c r="AD107" s="17">
        <f>COUNTIF('261026'!$C$18:$C$47,$C107)+COUNTIF('261026'!$I$18:$I$47,$C107)</f>
        <v>0</v>
      </c>
      <c r="AE107" s="17">
        <f>COUNTIF('261027'!$C$18:$C$47,$C107)+COUNTIF('261027'!$I$18:$I$47,$C107)</f>
        <v>0</v>
      </c>
      <c r="AF107" s="17">
        <f>COUNTIF('261028'!$C$18:$C$47,$C107)+COUNTIF('261028'!$I$18:$I$47,$C107)</f>
        <v>0</v>
      </c>
      <c r="AG107" s="17">
        <f>COUNTIF('261029'!$C$18:$C$47,$C107)+COUNTIF('261029'!$I$18:$I$47,$C107)</f>
        <v>0</v>
      </c>
      <c r="AH107" s="17">
        <f>COUNTIF('261030'!$C$18:$C$47,$C107)+COUNTIF('261030'!$I$18:$I$47,$C107)</f>
        <v>0</v>
      </c>
      <c r="AI107" s="17">
        <f>COUNTIF('261031'!$C$18:$C$47,$C107)+COUNTIF('261031'!$I$18:$I$47,$C107)</f>
        <v>0</v>
      </c>
      <c r="AJ107" s="108">
        <f t="shared" si="5"/>
        <v>0</v>
      </c>
      <c r="AL107" s="16"/>
      <c r="AM107" s="16"/>
    </row>
    <row r="108" spans="2:39" ht="20.100000000000001" customHeight="1" x14ac:dyDescent="0.3">
      <c r="B108" s="36">
        <f t="shared" si="6"/>
        <v>104</v>
      </c>
      <c r="C108" s="107"/>
      <c r="D108" s="19"/>
      <c r="E108" s="17">
        <f>COUNTIF('261001'!$C$18:$C$47,$C108)+COUNTIF('261001'!$I$18:$I$47,$C108)</f>
        <v>0</v>
      </c>
      <c r="F108" s="17">
        <f>COUNTIF('261002'!$C$18:$C$47,$C108)+COUNTIF('261002'!$I$18:$I$47,$C108)</f>
        <v>0</v>
      </c>
      <c r="G108" s="17">
        <f>COUNTIF('261003'!$C$18:$C$47,$C108)+COUNTIF('261003'!$I$18:$I$47,$C108)</f>
        <v>0</v>
      </c>
      <c r="H108" s="17">
        <f>COUNTIF('261004'!$C$18:$C$47,$C108)+COUNTIF('261004'!$I$18:$I$47,$C108)</f>
        <v>0</v>
      </c>
      <c r="I108" s="17">
        <f>COUNTIF('261005'!$C$18:$C$47,$C108)+COUNTIF('261005'!$I$18:$I$47,$C108)</f>
        <v>0</v>
      </c>
      <c r="J108" s="17">
        <f>COUNTIF('261006'!$C$18:$C$47,$C108)+COUNTIF('261006'!$I$18:$I$47,$C108)</f>
        <v>0</v>
      </c>
      <c r="K108" s="17">
        <f>COUNTIF('261007'!$C$18:$C$47,$C108)+COUNTIF('261007'!$I$18:$I$47,$C108)</f>
        <v>0</v>
      </c>
      <c r="L108" s="17">
        <f>COUNTIF('261008'!$C$18:$C$47,$C108)+COUNTIF('261008'!$I$18:$I$47,$C108)</f>
        <v>0</v>
      </c>
      <c r="M108" s="17">
        <f>COUNTIF('261009'!$C$18:$C$47,$C108)+COUNTIF('261009'!$I$18:$I$47,$C108)</f>
        <v>0</v>
      </c>
      <c r="N108" s="17">
        <f>COUNTIF('261010'!$C$18:$C$47,$C108)+COUNTIF('261010'!$I$18:$I$47,$C108)</f>
        <v>0</v>
      </c>
      <c r="O108" s="17">
        <f>COUNTIF('261011'!$C$18:$C$47,$C108)+COUNTIF('261011'!$I$18:$I$47,$C108)</f>
        <v>0</v>
      </c>
      <c r="P108" s="17">
        <f>COUNTIF('261012'!$C$18:$C$47,$C108)+COUNTIF('261012'!$I$18:$I$47,$C108)</f>
        <v>0</v>
      </c>
      <c r="Q108" s="17">
        <f>COUNTIF('261013'!$C$18:$C$47,$C108)+COUNTIF('261013'!$I$18:$I$47,$C108)</f>
        <v>0</v>
      </c>
      <c r="R108" s="17">
        <f>COUNTIF('261014'!$C$18:$C$47,$C108)+COUNTIF('261014'!$I$18:$I$47,$C108)</f>
        <v>0</v>
      </c>
      <c r="S108" s="17">
        <f>COUNTIF('261015'!$C$18:$C$47,$C108)+COUNTIF('261015'!$I$18:$I$47,$C108)</f>
        <v>0</v>
      </c>
      <c r="T108" s="17">
        <f>COUNTIF('261016'!$C$18:$C$47,$C108)+COUNTIF('261016'!$I$18:$I$47,$C108)</f>
        <v>0</v>
      </c>
      <c r="U108" s="17">
        <f>COUNTIF('261017'!$C$18:$C$47,$C108)+COUNTIF('261017'!$I$18:$I$47,$C108)</f>
        <v>0</v>
      </c>
      <c r="V108" s="17">
        <f>COUNTIF('261018'!$C$18:$C$47,$C108)+COUNTIF('261018'!$I$18:$I$47,$C108)</f>
        <v>0</v>
      </c>
      <c r="W108" s="17">
        <f>COUNTIF('261019'!$C$18:$C$47,$C108)+COUNTIF('261019'!$I$18:$I$47,$C108)</f>
        <v>0</v>
      </c>
      <c r="X108" s="17">
        <f>COUNTIF('261020'!$C$18:$C$47,$C108)+COUNTIF('261020'!$I$18:$I$47,$C108)</f>
        <v>0</v>
      </c>
      <c r="Y108" s="17">
        <f>COUNTIF('261021'!$C$18:$C$47,$C108)+COUNTIF('261021'!$I$18:$I$47,$C108)</f>
        <v>0</v>
      </c>
      <c r="Z108" s="17">
        <f>COUNTIF('261022'!$C$18:$C$47,$C108)+COUNTIF('261022'!$I$18:$I$47,$C108)</f>
        <v>0</v>
      </c>
      <c r="AA108" s="17">
        <f>COUNTIF('261023'!$C$18:$C$47,$C108)+COUNTIF('261023'!$I$18:$I$47,$C108)</f>
        <v>0</v>
      </c>
      <c r="AB108" s="17">
        <f>COUNTIF('261024'!$C$18:$C$47,$C108)+COUNTIF('261024'!$I$18:$I$47,$C108)</f>
        <v>0</v>
      </c>
      <c r="AC108" s="17">
        <f>COUNTIF('261025'!$C$18:$C$47,$C108)+COUNTIF('261025'!$I$18:$I$47,$C108)</f>
        <v>0</v>
      </c>
      <c r="AD108" s="17">
        <f>COUNTIF('261026'!$C$18:$C$47,$C108)+COUNTIF('261026'!$I$18:$I$47,$C108)</f>
        <v>0</v>
      </c>
      <c r="AE108" s="17">
        <f>COUNTIF('261027'!$C$18:$C$47,$C108)+COUNTIF('261027'!$I$18:$I$47,$C108)</f>
        <v>0</v>
      </c>
      <c r="AF108" s="17">
        <f>COUNTIF('261028'!$C$18:$C$47,$C108)+COUNTIF('261028'!$I$18:$I$47,$C108)</f>
        <v>0</v>
      </c>
      <c r="AG108" s="17">
        <f>COUNTIF('261029'!$C$18:$C$47,$C108)+COUNTIF('261029'!$I$18:$I$47,$C108)</f>
        <v>0</v>
      </c>
      <c r="AH108" s="17">
        <f>COUNTIF('261030'!$C$18:$C$47,$C108)+COUNTIF('261030'!$I$18:$I$47,$C108)</f>
        <v>0</v>
      </c>
      <c r="AI108" s="17">
        <f>COUNTIF('261031'!$C$18:$C$47,$C108)+COUNTIF('261031'!$I$18:$I$47,$C108)</f>
        <v>0</v>
      </c>
      <c r="AJ108" s="108">
        <f t="shared" si="5"/>
        <v>0</v>
      </c>
      <c r="AL108" s="16"/>
      <c r="AM108" s="16"/>
    </row>
    <row r="109" spans="2:39" ht="20.100000000000001" customHeight="1" x14ac:dyDescent="0.3">
      <c r="B109" s="36">
        <f t="shared" si="6"/>
        <v>105</v>
      </c>
      <c r="C109" s="107"/>
      <c r="D109" s="19"/>
      <c r="E109" s="17">
        <f>COUNTIF('261001'!$C$18:$C$47,$C109)+COUNTIF('261001'!$I$18:$I$47,$C109)</f>
        <v>0</v>
      </c>
      <c r="F109" s="17">
        <f>COUNTIF('261002'!$C$18:$C$47,$C109)+COUNTIF('261002'!$I$18:$I$47,$C109)</f>
        <v>0</v>
      </c>
      <c r="G109" s="17">
        <f>COUNTIF('261003'!$C$18:$C$47,$C109)+COUNTIF('261003'!$I$18:$I$47,$C109)</f>
        <v>0</v>
      </c>
      <c r="H109" s="17">
        <f>COUNTIF('261004'!$C$18:$C$47,$C109)+COUNTIF('261004'!$I$18:$I$47,$C109)</f>
        <v>0</v>
      </c>
      <c r="I109" s="17">
        <f>COUNTIF('261005'!$C$18:$C$47,$C109)+COUNTIF('261005'!$I$18:$I$47,$C109)</f>
        <v>0</v>
      </c>
      <c r="J109" s="17">
        <f>COUNTIF('261006'!$C$18:$C$47,$C109)+COUNTIF('261006'!$I$18:$I$47,$C109)</f>
        <v>0</v>
      </c>
      <c r="K109" s="17">
        <f>COUNTIF('261007'!$C$18:$C$47,$C109)+COUNTIF('261007'!$I$18:$I$47,$C109)</f>
        <v>0</v>
      </c>
      <c r="L109" s="17">
        <f>COUNTIF('261008'!$C$18:$C$47,$C109)+COUNTIF('261008'!$I$18:$I$47,$C109)</f>
        <v>0</v>
      </c>
      <c r="M109" s="17">
        <f>COUNTIF('261009'!$C$18:$C$47,$C109)+COUNTIF('261009'!$I$18:$I$47,$C109)</f>
        <v>0</v>
      </c>
      <c r="N109" s="17">
        <f>COUNTIF('261010'!$C$18:$C$47,$C109)+COUNTIF('261010'!$I$18:$I$47,$C109)</f>
        <v>0</v>
      </c>
      <c r="O109" s="17">
        <f>COUNTIF('261011'!$C$18:$C$47,$C109)+COUNTIF('261011'!$I$18:$I$47,$C109)</f>
        <v>0</v>
      </c>
      <c r="P109" s="17">
        <f>COUNTIF('261012'!$C$18:$C$47,$C109)+COUNTIF('261012'!$I$18:$I$47,$C109)</f>
        <v>0</v>
      </c>
      <c r="Q109" s="17">
        <f>COUNTIF('261013'!$C$18:$C$47,$C109)+COUNTIF('261013'!$I$18:$I$47,$C109)</f>
        <v>0</v>
      </c>
      <c r="R109" s="17">
        <f>COUNTIF('261014'!$C$18:$C$47,$C109)+COUNTIF('261014'!$I$18:$I$47,$C109)</f>
        <v>0</v>
      </c>
      <c r="S109" s="17">
        <f>COUNTIF('261015'!$C$18:$C$47,$C109)+COUNTIF('261015'!$I$18:$I$47,$C109)</f>
        <v>0</v>
      </c>
      <c r="T109" s="17">
        <f>COUNTIF('261016'!$C$18:$C$47,$C109)+COUNTIF('261016'!$I$18:$I$47,$C109)</f>
        <v>0</v>
      </c>
      <c r="U109" s="17">
        <f>COUNTIF('261017'!$C$18:$C$47,$C109)+COUNTIF('261017'!$I$18:$I$47,$C109)</f>
        <v>0</v>
      </c>
      <c r="V109" s="17">
        <f>COUNTIF('261018'!$C$18:$C$47,$C109)+COUNTIF('261018'!$I$18:$I$47,$C109)</f>
        <v>0</v>
      </c>
      <c r="W109" s="17">
        <f>COUNTIF('261019'!$C$18:$C$47,$C109)+COUNTIF('261019'!$I$18:$I$47,$C109)</f>
        <v>0</v>
      </c>
      <c r="X109" s="17">
        <f>COUNTIF('261020'!$C$18:$C$47,$C109)+COUNTIF('261020'!$I$18:$I$47,$C109)</f>
        <v>0</v>
      </c>
      <c r="Y109" s="17">
        <f>COUNTIF('261021'!$C$18:$C$47,$C109)+COUNTIF('261021'!$I$18:$I$47,$C109)</f>
        <v>0</v>
      </c>
      <c r="Z109" s="17">
        <f>COUNTIF('261022'!$C$18:$C$47,$C109)+COUNTIF('261022'!$I$18:$I$47,$C109)</f>
        <v>0</v>
      </c>
      <c r="AA109" s="17">
        <f>COUNTIF('261023'!$C$18:$C$47,$C109)+COUNTIF('261023'!$I$18:$I$47,$C109)</f>
        <v>0</v>
      </c>
      <c r="AB109" s="17">
        <f>COUNTIF('261024'!$C$18:$C$47,$C109)+COUNTIF('261024'!$I$18:$I$47,$C109)</f>
        <v>0</v>
      </c>
      <c r="AC109" s="17">
        <f>COUNTIF('261025'!$C$18:$C$47,$C109)+COUNTIF('261025'!$I$18:$I$47,$C109)</f>
        <v>0</v>
      </c>
      <c r="AD109" s="17">
        <f>COUNTIF('261026'!$C$18:$C$47,$C109)+COUNTIF('261026'!$I$18:$I$47,$C109)</f>
        <v>0</v>
      </c>
      <c r="AE109" s="17">
        <f>COUNTIF('261027'!$C$18:$C$47,$C109)+COUNTIF('261027'!$I$18:$I$47,$C109)</f>
        <v>0</v>
      </c>
      <c r="AF109" s="17">
        <f>COUNTIF('261028'!$C$18:$C$47,$C109)+COUNTIF('261028'!$I$18:$I$47,$C109)</f>
        <v>0</v>
      </c>
      <c r="AG109" s="17">
        <f>COUNTIF('261029'!$C$18:$C$47,$C109)+COUNTIF('261029'!$I$18:$I$47,$C109)</f>
        <v>0</v>
      </c>
      <c r="AH109" s="17">
        <f>COUNTIF('261030'!$C$18:$C$47,$C109)+COUNTIF('261030'!$I$18:$I$47,$C109)</f>
        <v>0</v>
      </c>
      <c r="AI109" s="17">
        <f>COUNTIF('261031'!$C$18:$C$47,$C109)+COUNTIF('261031'!$I$18:$I$47,$C109)</f>
        <v>0</v>
      </c>
      <c r="AJ109" s="108">
        <f t="shared" si="5"/>
        <v>0</v>
      </c>
      <c r="AL109" s="16"/>
      <c r="AM109" s="16"/>
    </row>
    <row r="110" spans="2:39" ht="20.100000000000001" customHeight="1" x14ac:dyDescent="0.3">
      <c r="B110" s="36">
        <f t="shared" si="6"/>
        <v>106</v>
      </c>
      <c r="C110" s="107"/>
      <c r="D110" s="19"/>
      <c r="E110" s="17">
        <f>COUNTIF('261001'!$C$18:$C$47,$C110)+COUNTIF('261001'!$I$18:$I$47,$C110)</f>
        <v>0</v>
      </c>
      <c r="F110" s="17">
        <f>COUNTIF('261002'!$C$18:$C$47,$C110)+COUNTIF('261002'!$I$18:$I$47,$C110)</f>
        <v>0</v>
      </c>
      <c r="G110" s="17">
        <f>COUNTIF('261003'!$C$18:$C$47,$C110)+COUNTIF('261003'!$I$18:$I$47,$C110)</f>
        <v>0</v>
      </c>
      <c r="H110" s="17">
        <f>COUNTIF('261004'!$C$18:$C$47,$C110)+COUNTIF('261004'!$I$18:$I$47,$C110)</f>
        <v>0</v>
      </c>
      <c r="I110" s="17">
        <f>COUNTIF('261005'!$C$18:$C$47,$C110)+COUNTIF('261005'!$I$18:$I$47,$C110)</f>
        <v>0</v>
      </c>
      <c r="J110" s="17">
        <f>COUNTIF('261006'!$C$18:$C$47,$C110)+COUNTIF('261006'!$I$18:$I$47,$C110)</f>
        <v>0</v>
      </c>
      <c r="K110" s="17">
        <f>COUNTIF('261007'!$C$18:$C$47,$C110)+COUNTIF('261007'!$I$18:$I$47,$C110)</f>
        <v>0</v>
      </c>
      <c r="L110" s="17">
        <f>COUNTIF('261008'!$C$18:$C$47,$C110)+COUNTIF('261008'!$I$18:$I$47,$C110)</f>
        <v>0</v>
      </c>
      <c r="M110" s="17">
        <f>COUNTIF('261009'!$C$18:$C$47,$C110)+COUNTIF('261009'!$I$18:$I$47,$C110)</f>
        <v>0</v>
      </c>
      <c r="N110" s="17">
        <f>COUNTIF('261010'!$C$18:$C$47,$C110)+COUNTIF('261010'!$I$18:$I$47,$C110)</f>
        <v>0</v>
      </c>
      <c r="O110" s="17">
        <f>COUNTIF('261011'!$C$18:$C$47,$C110)+COUNTIF('261011'!$I$18:$I$47,$C110)</f>
        <v>0</v>
      </c>
      <c r="P110" s="17">
        <f>COUNTIF('261012'!$C$18:$C$47,$C110)+COUNTIF('261012'!$I$18:$I$47,$C110)</f>
        <v>0</v>
      </c>
      <c r="Q110" s="17">
        <f>COUNTIF('261013'!$C$18:$C$47,$C110)+COUNTIF('261013'!$I$18:$I$47,$C110)</f>
        <v>0</v>
      </c>
      <c r="R110" s="17">
        <f>COUNTIF('261014'!$C$18:$C$47,$C110)+COUNTIF('261014'!$I$18:$I$47,$C110)</f>
        <v>0</v>
      </c>
      <c r="S110" s="17">
        <f>COUNTIF('261015'!$C$18:$C$47,$C110)+COUNTIF('261015'!$I$18:$I$47,$C110)</f>
        <v>0</v>
      </c>
      <c r="T110" s="17">
        <f>COUNTIF('261016'!$C$18:$C$47,$C110)+COUNTIF('261016'!$I$18:$I$47,$C110)</f>
        <v>0</v>
      </c>
      <c r="U110" s="17">
        <f>COUNTIF('261017'!$C$18:$C$47,$C110)+COUNTIF('261017'!$I$18:$I$47,$C110)</f>
        <v>0</v>
      </c>
      <c r="V110" s="17">
        <f>COUNTIF('261018'!$C$18:$C$47,$C110)+COUNTIF('261018'!$I$18:$I$47,$C110)</f>
        <v>0</v>
      </c>
      <c r="W110" s="17">
        <f>COUNTIF('261019'!$C$18:$C$47,$C110)+COUNTIF('261019'!$I$18:$I$47,$C110)</f>
        <v>0</v>
      </c>
      <c r="X110" s="17">
        <f>COUNTIF('261020'!$C$18:$C$47,$C110)+COUNTIF('261020'!$I$18:$I$47,$C110)</f>
        <v>0</v>
      </c>
      <c r="Y110" s="17">
        <f>COUNTIF('261021'!$C$18:$C$47,$C110)+COUNTIF('261021'!$I$18:$I$47,$C110)</f>
        <v>0</v>
      </c>
      <c r="Z110" s="17">
        <f>COUNTIF('261022'!$C$18:$C$47,$C110)+COUNTIF('261022'!$I$18:$I$47,$C110)</f>
        <v>0</v>
      </c>
      <c r="AA110" s="17">
        <f>COUNTIF('261023'!$C$18:$C$47,$C110)+COUNTIF('261023'!$I$18:$I$47,$C110)</f>
        <v>0</v>
      </c>
      <c r="AB110" s="17">
        <f>COUNTIF('261024'!$C$18:$C$47,$C110)+COUNTIF('261024'!$I$18:$I$47,$C110)</f>
        <v>0</v>
      </c>
      <c r="AC110" s="17">
        <f>COUNTIF('261025'!$C$18:$C$47,$C110)+COUNTIF('261025'!$I$18:$I$47,$C110)</f>
        <v>0</v>
      </c>
      <c r="AD110" s="17">
        <f>COUNTIF('261026'!$C$18:$C$47,$C110)+COUNTIF('261026'!$I$18:$I$47,$C110)</f>
        <v>0</v>
      </c>
      <c r="AE110" s="17">
        <f>COUNTIF('261027'!$C$18:$C$47,$C110)+COUNTIF('261027'!$I$18:$I$47,$C110)</f>
        <v>0</v>
      </c>
      <c r="AF110" s="17">
        <f>COUNTIF('261028'!$C$18:$C$47,$C110)+COUNTIF('261028'!$I$18:$I$47,$C110)</f>
        <v>0</v>
      </c>
      <c r="AG110" s="17">
        <f>COUNTIF('261029'!$C$18:$C$47,$C110)+COUNTIF('261029'!$I$18:$I$47,$C110)</f>
        <v>0</v>
      </c>
      <c r="AH110" s="17">
        <f>COUNTIF('261030'!$C$18:$C$47,$C110)+COUNTIF('261030'!$I$18:$I$47,$C110)</f>
        <v>0</v>
      </c>
      <c r="AI110" s="17">
        <f>COUNTIF('261031'!$C$18:$C$47,$C110)+COUNTIF('261031'!$I$18:$I$47,$C110)</f>
        <v>0</v>
      </c>
      <c r="AJ110" s="108">
        <f t="shared" si="5"/>
        <v>0</v>
      </c>
      <c r="AL110" s="16"/>
      <c r="AM110" s="16"/>
    </row>
    <row r="111" spans="2:39" ht="20.100000000000001" customHeight="1" x14ac:dyDescent="0.3">
      <c r="B111" s="36">
        <f t="shared" si="6"/>
        <v>107</v>
      </c>
      <c r="C111" s="107"/>
      <c r="D111" s="19"/>
      <c r="E111" s="17">
        <f>COUNTIF('261001'!$C$18:$C$47,$C111)+COUNTIF('261001'!$I$18:$I$47,$C111)</f>
        <v>0</v>
      </c>
      <c r="F111" s="17">
        <f>COUNTIF('261002'!$C$18:$C$47,$C111)+COUNTIF('261002'!$I$18:$I$47,$C111)</f>
        <v>0</v>
      </c>
      <c r="G111" s="17">
        <f>COUNTIF('261003'!$C$18:$C$47,$C111)+COUNTIF('261003'!$I$18:$I$47,$C111)</f>
        <v>0</v>
      </c>
      <c r="H111" s="17">
        <f>COUNTIF('261004'!$C$18:$C$47,$C111)+COUNTIF('261004'!$I$18:$I$47,$C111)</f>
        <v>0</v>
      </c>
      <c r="I111" s="17">
        <f>COUNTIF('261005'!$C$18:$C$47,$C111)+COUNTIF('261005'!$I$18:$I$47,$C111)</f>
        <v>0</v>
      </c>
      <c r="J111" s="17">
        <f>COUNTIF('261006'!$C$18:$C$47,$C111)+COUNTIF('261006'!$I$18:$I$47,$C111)</f>
        <v>0</v>
      </c>
      <c r="K111" s="17">
        <f>COUNTIF('261007'!$C$18:$C$47,$C111)+COUNTIF('261007'!$I$18:$I$47,$C111)</f>
        <v>0</v>
      </c>
      <c r="L111" s="17">
        <f>COUNTIF('261008'!$C$18:$C$47,$C111)+COUNTIF('261008'!$I$18:$I$47,$C111)</f>
        <v>0</v>
      </c>
      <c r="M111" s="17">
        <f>COUNTIF('261009'!$C$18:$C$47,$C111)+COUNTIF('261009'!$I$18:$I$47,$C111)</f>
        <v>0</v>
      </c>
      <c r="N111" s="17">
        <f>COUNTIF('261010'!$C$18:$C$47,$C111)+COUNTIF('261010'!$I$18:$I$47,$C111)</f>
        <v>0</v>
      </c>
      <c r="O111" s="17">
        <f>COUNTIF('261011'!$C$18:$C$47,$C111)+COUNTIF('261011'!$I$18:$I$47,$C111)</f>
        <v>0</v>
      </c>
      <c r="P111" s="17">
        <f>COUNTIF('261012'!$C$18:$C$47,$C111)+COUNTIF('261012'!$I$18:$I$47,$C111)</f>
        <v>0</v>
      </c>
      <c r="Q111" s="17">
        <f>COUNTIF('261013'!$C$18:$C$47,$C111)+COUNTIF('261013'!$I$18:$I$47,$C111)</f>
        <v>0</v>
      </c>
      <c r="R111" s="17">
        <f>COUNTIF('261014'!$C$18:$C$47,$C111)+COUNTIF('261014'!$I$18:$I$47,$C111)</f>
        <v>0</v>
      </c>
      <c r="S111" s="17">
        <f>COUNTIF('261015'!$C$18:$C$47,$C111)+COUNTIF('261015'!$I$18:$I$47,$C111)</f>
        <v>0</v>
      </c>
      <c r="T111" s="17">
        <f>COUNTIF('261016'!$C$18:$C$47,$C111)+COUNTIF('261016'!$I$18:$I$47,$C111)</f>
        <v>0</v>
      </c>
      <c r="U111" s="17">
        <f>COUNTIF('261017'!$C$18:$C$47,$C111)+COUNTIF('261017'!$I$18:$I$47,$C111)</f>
        <v>0</v>
      </c>
      <c r="V111" s="17">
        <f>COUNTIF('261018'!$C$18:$C$47,$C111)+COUNTIF('261018'!$I$18:$I$47,$C111)</f>
        <v>0</v>
      </c>
      <c r="W111" s="17">
        <f>COUNTIF('261019'!$C$18:$C$47,$C111)+COUNTIF('261019'!$I$18:$I$47,$C111)</f>
        <v>0</v>
      </c>
      <c r="X111" s="17">
        <f>COUNTIF('261020'!$C$18:$C$47,$C111)+COUNTIF('261020'!$I$18:$I$47,$C111)</f>
        <v>0</v>
      </c>
      <c r="Y111" s="17">
        <f>COUNTIF('261021'!$C$18:$C$47,$C111)+COUNTIF('261021'!$I$18:$I$47,$C111)</f>
        <v>0</v>
      </c>
      <c r="Z111" s="17">
        <f>COUNTIF('261022'!$C$18:$C$47,$C111)+COUNTIF('261022'!$I$18:$I$47,$C111)</f>
        <v>0</v>
      </c>
      <c r="AA111" s="17">
        <f>COUNTIF('261023'!$C$18:$C$47,$C111)+COUNTIF('261023'!$I$18:$I$47,$C111)</f>
        <v>0</v>
      </c>
      <c r="AB111" s="17">
        <f>COUNTIF('261024'!$C$18:$C$47,$C111)+COUNTIF('261024'!$I$18:$I$47,$C111)</f>
        <v>0</v>
      </c>
      <c r="AC111" s="17">
        <f>COUNTIF('261025'!$C$18:$C$47,$C111)+COUNTIF('261025'!$I$18:$I$47,$C111)</f>
        <v>0</v>
      </c>
      <c r="AD111" s="17">
        <f>COUNTIF('261026'!$C$18:$C$47,$C111)+COUNTIF('261026'!$I$18:$I$47,$C111)</f>
        <v>0</v>
      </c>
      <c r="AE111" s="17">
        <f>COUNTIF('261027'!$C$18:$C$47,$C111)+COUNTIF('261027'!$I$18:$I$47,$C111)</f>
        <v>0</v>
      </c>
      <c r="AF111" s="17">
        <f>COUNTIF('261028'!$C$18:$C$47,$C111)+COUNTIF('261028'!$I$18:$I$47,$C111)</f>
        <v>0</v>
      </c>
      <c r="AG111" s="17">
        <f>COUNTIF('261029'!$C$18:$C$47,$C111)+COUNTIF('261029'!$I$18:$I$47,$C111)</f>
        <v>0</v>
      </c>
      <c r="AH111" s="17">
        <f>COUNTIF('261030'!$C$18:$C$47,$C111)+COUNTIF('261030'!$I$18:$I$47,$C111)</f>
        <v>0</v>
      </c>
      <c r="AI111" s="17">
        <f>COUNTIF('261031'!$C$18:$C$47,$C111)+COUNTIF('261031'!$I$18:$I$47,$C111)</f>
        <v>0</v>
      </c>
      <c r="AJ111" s="108">
        <f t="shared" si="5"/>
        <v>0</v>
      </c>
      <c r="AL111" s="16"/>
      <c r="AM111" s="16"/>
    </row>
    <row r="112" spans="2:39" ht="20.100000000000001" customHeight="1" x14ac:dyDescent="0.3">
      <c r="B112" s="36">
        <f t="shared" si="6"/>
        <v>108</v>
      </c>
      <c r="C112" s="107"/>
      <c r="D112" s="19"/>
      <c r="E112" s="17">
        <f>COUNTIF('261001'!$C$18:$C$47,$C112)+COUNTIF('261001'!$I$18:$I$47,$C112)</f>
        <v>0</v>
      </c>
      <c r="F112" s="17">
        <f>COUNTIF('261002'!$C$18:$C$47,$C112)+COUNTIF('261002'!$I$18:$I$47,$C112)</f>
        <v>0</v>
      </c>
      <c r="G112" s="17">
        <f>COUNTIF('261003'!$C$18:$C$47,$C112)+COUNTIF('261003'!$I$18:$I$47,$C112)</f>
        <v>0</v>
      </c>
      <c r="H112" s="17">
        <f>COUNTIF('261004'!$C$18:$C$47,$C112)+COUNTIF('261004'!$I$18:$I$47,$C112)</f>
        <v>0</v>
      </c>
      <c r="I112" s="17">
        <f>COUNTIF('261005'!$C$18:$C$47,$C112)+COUNTIF('261005'!$I$18:$I$47,$C112)</f>
        <v>0</v>
      </c>
      <c r="J112" s="17">
        <f>COUNTIF('261006'!$C$18:$C$47,$C112)+COUNTIF('261006'!$I$18:$I$47,$C112)</f>
        <v>0</v>
      </c>
      <c r="K112" s="17">
        <f>COUNTIF('261007'!$C$18:$C$47,$C112)+COUNTIF('261007'!$I$18:$I$47,$C112)</f>
        <v>0</v>
      </c>
      <c r="L112" s="17">
        <f>COUNTIF('261008'!$C$18:$C$47,$C112)+COUNTIF('261008'!$I$18:$I$47,$C112)</f>
        <v>0</v>
      </c>
      <c r="M112" s="17">
        <f>COUNTIF('261009'!$C$18:$C$47,$C112)+COUNTIF('261009'!$I$18:$I$47,$C112)</f>
        <v>0</v>
      </c>
      <c r="N112" s="17">
        <f>COUNTIF('261010'!$C$18:$C$47,$C112)+COUNTIF('261010'!$I$18:$I$47,$C112)</f>
        <v>0</v>
      </c>
      <c r="O112" s="17">
        <f>COUNTIF('261011'!$C$18:$C$47,$C112)+COUNTIF('261011'!$I$18:$I$47,$C112)</f>
        <v>0</v>
      </c>
      <c r="P112" s="17">
        <f>COUNTIF('261012'!$C$18:$C$47,$C112)+COUNTIF('261012'!$I$18:$I$47,$C112)</f>
        <v>0</v>
      </c>
      <c r="Q112" s="17">
        <f>COUNTIF('261013'!$C$18:$C$47,$C112)+COUNTIF('261013'!$I$18:$I$47,$C112)</f>
        <v>0</v>
      </c>
      <c r="R112" s="17">
        <f>COUNTIF('261014'!$C$18:$C$47,$C112)+COUNTIF('261014'!$I$18:$I$47,$C112)</f>
        <v>0</v>
      </c>
      <c r="S112" s="17">
        <f>COUNTIF('261015'!$C$18:$C$47,$C112)+COUNTIF('261015'!$I$18:$I$47,$C112)</f>
        <v>0</v>
      </c>
      <c r="T112" s="17">
        <f>COUNTIF('261016'!$C$18:$C$47,$C112)+COUNTIF('261016'!$I$18:$I$47,$C112)</f>
        <v>0</v>
      </c>
      <c r="U112" s="17">
        <f>COUNTIF('261017'!$C$18:$C$47,$C112)+COUNTIF('261017'!$I$18:$I$47,$C112)</f>
        <v>0</v>
      </c>
      <c r="V112" s="17">
        <f>COUNTIF('261018'!$C$18:$C$47,$C112)+COUNTIF('261018'!$I$18:$I$47,$C112)</f>
        <v>0</v>
      </c>
      <c r="W112" s="17">
        <f>COUNTIF('261019'!$C$18:$C$47,$C112)+COUNTIF('261019'!$I$18:$I$47,$C112)</f>
        <v>0</v>
      </c>
      <c r="X112" s="17">
        <f>COUNTIF('261020'!$C$18:$C$47,$C112)+COUNTIF('261020'!$I$18:$I$47,$C112)</f>
        <v>0</v>
      </c>
      <c r="Y112" s="17">
        <f>COUNTIF('261021'!$C$18:$C$47,$C112)+COUNTIF('261021'!$I$18:$I$47,$C112)</f>
        <v>0</v>
      </c>
      <c r="Z112" s="17">
        <f>COUNTIF('261022'!$C$18:$C$47,$C112)+COUNTIF('261022'!$I$18:$I$47,$C112)</f>
        <v>0</v>
      </c>
      <c r="AA112" s="17">
        <f>COUNTIF('261023'!$C$18:$C$47,$C112)+COUNTIF('261023'!$I$18:$I$47,$C112)</f>
        <v>0</v>
      </c>
      <c r="AB112" s="17">
        <f>COUNTIF('261024'!$C$18:$C$47,$C112)+COUNTIF('261024'!$I$18:$I$47,$C112)</f>
        <v>0</v>
      </c>
      <c r="AC112" s="17">
        <f>COUNTIF('261025'!$C$18:$C$47,$C112)+COUNTIF('261025'!$I$18:$I$47,$C112)</f>
        <v>0</v>
      </c>
      <c r="AD112" s="17">
        <f>COUNTIF('261026'!$C$18:$C$47,$C112)+COUNTIF('261026'!$I$18:$I$47,$C112)</f>
        <v>0</v>
      </c>
      <c r="AE112" s="17">
        <f>COUNTIF('261027'!$C$18:$C$47,$C112)+COUNTIF('261027'!$I$18:$I$47,$C112)</f>
        <v>0</v>
      </c>
      <c r="AF112" s="17">
        <f>COUNTIF('261028'!$C$18:$C$47,$C112)+COUNTIF('261028'!$I$18:$I$47,$C112)</f>
        <v>0</v>
      </c>
      <c r="AG112" s="17">
        <f>COUNTIF('261029'!$C$18:$C$47,$C112)+COUNTIF('261029'!$I$18:$I$47,$C112)</f>
        <v>0</v>
      </c>
      <c r="AH112" s="17">
        <f>COUNTIF('261030'!$C$18:$C$47,$C112)+COUNTIF('261030'!$I$18:$I$47,$C112)</f>
        <v>0</v>
      </c>
      <c r="AI112" s="17">
        <f>COUNTIF('261031'!$C$18:$C$47,$C112)+COUNTIF('261031'!$I$18:$I$47,$C112)</f>
        <v>0</v>
      </c>
      <c r="AJ112" s="108">
        <f t="shared" si="5"/>
        <v>0</v>
      </c>
      <c r="AL112" s="16"/>
      <c r="AM112" s="16"/>
    </row>
    <row r="113" spans="2:39" ht="20.100000000000001" customHeight="1" x14ac:dyDescent="0.3">
      <c r="B113" s="36">
        <f t="shared" si="6"/>
        <v>109</v>
      </c>
      <c r="C113" s="19"/>
      <c r="D113" s="19"/>
      <c r="E113" s="17">
        <f>COUNTIF('261001'!$C$18:$C$47,$C113)+COUNTIF('261001'!$I$18:$I$47,$C113)</f>
        <v>0</v>
      </c>
      <c r="F113" s="17">
        <f>COUNTIF('261002'!$C$18:$C$47,$C113)+COUNTIF('261002'!$I$18:$I$47,$C113)</f>
        <v>0</v>
      </c>
      <c r="G113" s="17">
        <f>COUNTIF('261003'!$C$18:$C$47,$C113)+COUNTIF('261003'!$I$18:$I$47,$C113)</f>
        <v>0</v>
      </c>
      <c r="H113" s="17">
        <f>COUNTIF('261004'!$C$18:$C$47,$C113)+COUNTIF('261004'!$I$18:$I$47,$C113)</f>
        <v>0</v>
      </c>
      <c r="I113" s="17">
        <f>COUNTIF('261005'!$C$18:$C$47,$C113)+COUNTIF('261005'!$I$18:$I$47,$C113)</f>
        <v>0</v>
      </c>
      <c r="J113" s="17">
        <f>COUNTIF('261006'!$C$18:$C$47,$C113)+COUNTIF('261006'!$I$18:$I$47,$C113)</f>
        <v>0</v>
      </c>
      <c r="K113" s="17">
        <f>COUNTIF('261007'!$C$18:$C$47,$C113)+COUNTIF('261007'!$I$18:$I$47,$C113)</f>
        <v>0</v>
      </c>
      <c r="L113" s="17">
        <f>COUNTIF('261008'!$C$18:$C$47,$C113)+COUNTIF('261008'!$I$18:$I$47,$C113)</f>
        <v>0</v>
      </c>
      <c r="M113" s="17">
        <f>COUNTIF('261009'!$C$18:$C$47,$C113)+COUNTIF('261009'!$I$18:$I$47,$C113)</f>
        <v>0</v>
      </c>
      <c r="N113" s="17">
        <f>COUNTIF('261010'!$C$18:$C$47,$C113)+COUNTIF('261010'!$I$18:$I$47,$C113)</f>
        <v>0</v>
      </c>
      <c r="O113" s="17">
        <f>COUNTIF('261011'!$C$18:$C$47,$C113)+COUNTIF('261011'!$I$18:$I$47,$C113)</f>
        <v>0</v>
      </c>
      <c r="P113" s="17">
        <f>COUNTIF('261012'!$C$18:$C$47,$C113)+COUNTIF('261012'!$I$18:$I$47,$C113)</f>
        <v>0</v>
      </c>
      <c r="Q113" s="17">
        <f>COUNTIF('261013'!$C$18:$C$47,$C113)+COUNTIF('261013'!$I$18:$I$47,$C113)</f>
        <v>0</v>
      </c>
      <c r="R113" s="17">
        <f>COUNTIF('261014'!$C$18:$C$47,$C113)+COUNTIF('261014'!$I$18:$I$47,$C113)</f>
        <v>0</v>
      </c>
      <c r="S113" s="17">
        <f>COUNTIF('261015'!$C$18:$C$47,$C113)+COUNTIF('261015'!$I$18:$I$47,$C113)</f>
        <v>0</v>
      </c>
      <c r="T113" s="17">
        <f>COUNTIF('261016'!$C$18:$C$47,$C113)+COUNTIF('261016'!$I$18:$I$47,$C113)</f>
        <v>0</v>
      </c>
      <c r="U113" s="17">
        <f>COUNTIF('261017'!$C$18:$C$47,$C113)+COUNTIF('261017'!$I$18:$I$47,$C113)</f>
        <v>0</v>
      </c>
      <c r="V113" s="17">
        <f>COUNTIF('261018'!$C$18:$C$47,$C113)+COUNTIF('261018'!$I$18:$I$47,$C113)</f>
        <v>0</v>
      </c>
      <c r="W113" s="17">
        <f>COUNTIF('261019'!$C$18:$C$47,$C113)+COUNTIF('261019'!$I$18:$I$47,$C113)</f>
        <v>0</v>
      </c>
      <c r="X113" s="17">
        <f>COUNTIF('261020'!$C$18:$C$47,$C113)+COUNTIF('261020'!$I$18:$I$47,$C113)</f>
        <v>0</v>
      </c>
      <c r="Y113" s="17">
        <f>COUNTIF('261021'!$C$18:$C$47,$C113)+COUNTIF('261021'!$I$18:$I$47,$C113)</f>
        <v>0</v>
      </c>
      <c r="Z113" s="17">
        <f>COUNTIF('261022'!$C$18:$C$47,$C113)+COUNTIF('261022'!$I$18:$I$47,$C113)</f>
        <v>0</v>
      </c>
      <c r="AA113" s="17">
        <f>COUNTIF('261023'!$C$18:$C$47,$C113)+COUNTIF('261023'!$I$18:$I$47,$C113)</f>
        <v>0</v>
      </c>
      <c r="AB113" s="17">
        <f>COUNTIF('261024'!$C$18:$C$47,$C113)+COUNTIF('261024'!$I$18:$I$47,$C113)</f>
        <v>0</v>
      </c>
      <c r="AC113" s="17">
        <f>COUNTIF('261025'!$C$18:$C$47,$C113)+COUNTIF('261025'!$I$18:$I$47,$C113)</f>
        <v>0</v>
      </c>
      <c r="AD113" s="17">
        <f>COUNTIF('261026'!$C$18:$C$47,$C113)+COUNTIF('261026'!$I$18:$I$47,$C113)</f>
        <v>0</v>
      </c>
      <c r="AE113" s="17">
        <f>COUNTIF('261027'!$C$18:$C$47,$C113)+COUNTIF('261027'!$I$18:$I$47,$C113)</f>
        <v>0</v>
      </c>
      <c r="AF113" s="17">
        <f>COUNTIF('261028'!$C$18:$C$47,$C113)+COUNTIF('261028'!$I$18:$I$47,$C113)</f>
        <v>0</v>
      </c>
      <c r="AG113" s="17">
        <f>COUNTIF('261029'!$C$18:$C$47,$C113)+COUNTIF('261029'!$I$18:$I$47,$C113)</f>
        <v>0</v>
      </c>
      <c r="AH113" s="17">
        <f>COUNTIF('261030'!$C$18:$C$47,$C113)+COUNTIF('261030'!$I$18:$I$47,$C113)</f>
        <v>0</v>
      </c>
      <c r="AI113" s="17">
        <f>COUNTIF('261031'!$C$18:$C$47,$C113)+COUNTIF('261031'!$I$18:$I$47,$C113)</f>
        <v>0</v>
      </c>
      <c r="AJ113" s="108">
        <f t="shared" si="5"/>
        <v>0</v>
      </c>
      <c r="AL113" s="16"/>
      <c r="AM113" s="16"/>
    </row>
    <row r="114" spans="2:39" ht="20.100000000000001" customHeight="1" x14ac:dyDescent="0.3">
      <c r="B114" s="36">
        <f t="shared" si="6"/>
        <v>110</v>
      </c>
      <c r="C114" s="19"/>
      <c r="D114" s="19"/>
      <c r="E114" s="17">
        <f>COUNTIF('261001'!$C$18:$C$47,$C114)+COUNTIF('261001'!$I$18:$I$47,$C114)</f>
        <v>0</v>
      </c>
      <c r="F114" s="17">
        <f>COUNTIF('261002'!$C$18:$C$47,$C114)+COUNTIF('261002'!$I$18:$I$47,$C114)</f>
        <v>0</v>
      </c>
      <c r="G114" s="17">
        <f>COUNTIF('261003'!$C$18:$C$47,$C114)+COUNTIF('261003'!$I$18:$I$47,$C114)</f>
        <v>0</v>
      </c>
      <c r="H114" s="17">
        <f>COUNTIF('261004'!$C$18:$C$47,$C114)+COUNTIF('261004'!$I$18:$I$47,$C114)</f>
        <v>0</v>
      </c>
      <c r="I114" s="17">
        <f>COUNTIF('261005'!$C$18:$C$47,$C114)+COUNTIF('261005'!$I$18:$I$47,$C114)</f>
        <v>0</v>
      </c>
      <c r="J114" s="17">
        <f>COUNTIF('261006'!$C$18:$C$47,$C114)+COUNTIF('261006'!$I$18:$I$47,$C114)</f>
        <v>0</v>
      </c>
      <c r="K114" s="17">
        <f>COUNTIF('261007'!$C$18:$C$47,$C114)+COUNTIF('261007'!$I$18:$I$47,$C114)</f>
        <v>0</v>
      </c>
      <c r="L114" s="17">
        <f>COUNTIF('261008'!$C$18:$C$47,$C114)+COUNTIF('261008'!$I$18:$I$47,$C114)</f>
        <v>0</v>
      </c>
      <c r="M114" s="17">
        <f>COUNTIF('261009'!$C$18:$C$47,$C114)+COUNTIF('261009'!$I$18:$I$47,$C114)</f>
        <v>0</v>
      </c>
      <c r="N114" s="17">
        <f>COUNTIF('261010'!$C$18:$C$47,$C114)+COUNTIF('261010'!$I$18:$I$47,$C114)</f>
        <v>0</v>
      </c>
      <c r="O114" s="17">
        <f>COUNTIF('261011'!$C$18:$C$47,$C114)+COUNTIF('261011'!$I$18:$I$47,$C114)</f>
        <v>0</v>
      </c>
      <c r="P114" s="17">
        <f>COUNTIF('261012'!$C$18:$C$47,$C114)+COUNTIF('261012'!$I$18:$I$47,$C114)</f>
        <v>0</v>
      </c>
      <c r="Q114" s="17">
        <f>COUNTIF('261013'!$C$18:$C$47,$C114)+COUNTIF('261013'!$I$18:$I$47,$C114)</f>
        <v>0</v>
      </c>
      <c r="R114" s="17">
        <f>COUNTIF('261014'!$C$18:$C$47,$C114)+COUNTIF('261014'!$I$18:$I$47,$C114)</f>
        <v>0</v>
      </c>
      <c r="S114" s="17">
        <f>COUNTIF('261015'!$C$18:$C$47,$C114)+COUNTIF('261015'!$I$18:$I$47,$C114)</f>
        <v>0</v>
      </c>
      <c r="T114" s="17">
        <f>COUNTIF('261016'!$C$18:$C$47,$C114)+COUNTIF('261016'!$I$18:$I$47,$C114)</f>
        <v>0</v>
      </c>
      <c r="U114" s="17">
        <f>COUNTIF('261017'!$C$18:$C$47,$C114)+COUNTIF('261017'!$I$18:$I$47,$C114)</f>
        <v>0</v>
      </c>
      <c r="V114" s="17">
        <f>COUNTIF('261018'!$C$18:$C$47,$C114)+COUNTIF('261018'!$I$18:$I$47,$C114)</f>
        <v>0</v>
      </c>
      <c r="W114" s="17">
        <f>COUNTIF('261019'!$C$18:$C$47,$C114)+COUNTIF('261019'!$I$18:$I$47,$C114)</f>
        <v>0</v>
      </c>
      <c r="X114" s="17">
        <f>COUNTIF('261020'!$C$18:$C$47,$C114)+COUNTIF('261020'!$I$18:$I$47,$C114)</f>
        <v>0</v>
      </c>
      <c r="Y114" s="17">
        <f>COUNTIF('261021'!$C$18:$C$47,$C114)+COUNTIF('261021'!$I$18:$I$47,$C114)</f>
        <v>0</v>
      </c>
      <c r="Z114" s="17">
        <f>COUNTIF('261022'!$C$18:$C$47,$C114)+COUNTIF('261022'!$I$18:$I$47,$C114)</f>
        <v>0</v>
      </c>
      <c r="AA114" s="17">
        <f>COUNTIF('261023'!$C$18:$C$47,$C114)+COUNTIF('261023'!$I$18:$I$47,$C114)</f>
        <v>0</v>
      </c>
      <c r="AB114" s="17">
        <f>COUNTIF('261024'!$C$18:$C$47,$C114)+COUNTIF('261024'!$I$18:$I$47,$C114)</f>
        <v>0</v>
      </c>
      <c r="AC114" s="17">
        <f>COUNTIF('261025'!$C$18:$C$47,$C114)+COUNTIF('261025'!$I$18:$I$47,$C114)</f>
        <v>0</v>
      </c>
      <c r="AD114" s="17">
        <f>COUNTIF('261026'!$C$18:$C$47,$C114)+COUNTIF('261026'!$I$18:$I$47,$C114)</f>
        <v>0</v>
      </c>
      <c r="AE114" s="17">
        <f>COUNTIF('261027'!$C$18:$C$47,$C114)+COUNTIF('261027'!$I$18:$I$47,$C114)</f>
        <v>0</v>
      </c>
      <c r="AF114" s="17">
        <f>COUNTIF('261028'!$C$18:$C$47,$C114)+COUNTIF('261028'!$I$18:$I$47,$C114)</f>
        <v>0</v>
      </c>
      <c r="AG114" s="17">
        <f>COUNTIF('261029'!$C$18:$C$47,$C114)+COUNTIF('261029'!$I$18:$I$47,$C114)</f>
        <v>0</v>
      </c>
      <c r="AH114" s="17">
        <f>COUNTIF('261030'!$C$18:$C$47,$C114)+COUNTIF('261030'!$I$18:$I$47,$C114)</f>
        <v>0</v>
      </c>
      <c r="AI114" s="17">
        <f>COUNTIF('261031'!$C$18:$C$47,$C114)+COUNTIF('261031'!$I$18:$I$47,$C114)</f>
        <v>0</v>
      </c>
      <c r="AJ114" s="108">
        <f t="shared" si="5"/>
        <v>0</v>
      </c>
      <c r="AL114" s="16"/>
      <c r="AM114" s="16"/>
    </row>
    <row r="115" spans="2:39" ht="20.100000000000001" customHeight="1" x14ac:dyDescent="0.3">
      <c r="B115" s="36">
        <f t="shared" si="6"/>
        <v>111</v>
      </c>
      <c r="C115" s="19"/>
      <c r="D115" s="19"/>
      <c r="E115" s="17">
        <f>COUNTIF('261001'!$C$18:$C$47,$C115)+COUNTIF('261001'!$I$18:$I$47,$C115)</f>
        <v>0</v>
      </c>
      <c r="F115" s="17">
        <f>COUNTIF('261002'!$C$18:$C$47,$C115)+COUNTIF('261002'!$I$18:$I$47,$C115)</f>
        <v>0</v>
      </c>
      <c r="G115" s="17">
        <f>COUNTIF('261003'!$C$18:$C$47,$C115)+COUNTIF('261003'!$I$18:$I$47,$C115)</f>
        <v>0</v>
      </c>
      <c r="H115" s="17">
        <f>COUNTIF('261004'!$C$18:$C$47,$C115)+COUNTIF('261004'!$I$18:$I$47,$C115)</f>
        <v>0</v>
      </c>
      <c r="I115" s="17">
        <f>COUNTIF('261005'!$C$18:$C$47,$C115)+COUNTIF('261005'!$I$18:$I$47,$C115)</f>
        <v>0</v>
      </c>
      <c r="J115" s="17">
        <f>COUNTIF('261006'!$C$18:$C$47,$C115)+COUNTIF('261006'!$I$18:$I$47,$C115)</f>
        <v>0</v>
      </c>
      <c r="K115" s="17">
        <f>COUNTIF('261007'!$C$18:$C$47,$C115)+COUNTIF('261007'!$I$18:$I$47,$C115)</f>
        <v>0</v>
      </c>
      <c r="L115" s="17">
        <f>COUNTIF('261008'!$C$18:$C$47,$C115)+COUNTIF('261008'!$I$18:$I$47,$C115)</f>
        <v>0</v>
      </c>
      <c r="M115" s="17">
        <f>COUNTIF('261009'!$C$18:$C$47,$C115)+COUNTIF('261009'!$I$18:$I$47,$C115)</f>
        <v>0</v>
      </c>
      <c r="N115" s="17">
        <f>COUNTIF('261010'!$C$18:$C$47,$C115)+COUNTIF('261010'!$I$18:$I$47,$C115)</f>
        <v>0</v>
      </c>
      <c r="O115" s="17">
        <f>COUNTIF('261011'!$C$18:$C$47,$C115)+COUNTIF('261011'!$I$18:$I$47,$C115)</f>
        <v>0</v>
      </c>
      <c r="P115" s="17">
        <f>COUNTIF('261012'!$C$18:$C$47,$C115)+COUNTIF('261012'!$I$18:$I$47,$C115)</f>
        <v>0</v>
      </c>
      <c r="Q115" s="17">
        <f>COUNTIF('261013'!$C$18:$C$47,$C115)+COUNTIF('261013'!$I$18:$I$47,$C115)</f>
        <v>0</v>
      </c>
      <c r="R115" s="17">
        <f>COUNTIF('261014'!$C$18:$C$47,$C115)+COUNTIF('261014'!$I$18:$I$47,$C115)</f>
        <v>0</v>
      </c>
      <c r="S115" s="17">
        <f>COUNTIF('261015'!$C$18:$C$47,$C115)+COUNTIF('261015'!$I$18:$I$47,$C115)</f>
        <v>0</v>
      </c>
      <c r="T115" s="17">
        <f>COUNTIF('261016'!$C$18:$C$47,$C115)+COUNTIF('261016'!$I$18:$I$47,$C115)</f>
        <v>0</v>
      </c>
      <c r="U115" s="17">
        <f>COUNTIF('261017'!$C$18:$C$47,$C115)+COUNTIF('261017'!$I$18:$I$47,$C115)</f>
        <v>0</v>
      </c>
      <c r="V115" s="17">
        <f>COUNTIF('261018'!$C$18:$C$47,$C115)+COUNTIF('261018'!$I$18:$I$47,$C115)</f>
        <v>0</v>
      </c>
      <c r="W115" s="17">
        <f>COUNTIF('261019'!$C$18:$C$47,$C115)+COUNTIF('261019'!$I$18:$I$47,$C115)</f>
        <v>0</v>
      </c>
      <c r="X115" s="17">
        <f>COUNTIF('261020'!$C$18:$C$47,$C115)+COUNTIF('261020'!$I$18:$I$47,$C115)</f>
        <v>0</v>
      </c>
      <c r="Y115" s="17">
        <f>COUNTIF('261021'!$C$18:$C$47,$C115)+COUNTIF('261021'!$I$18:$I$47,$C115)</f>
        <v>0</v>
      </c>
      <c r="Z115" s="17">
        <f>COUNTIF('261022'!$C$18:$C$47,$C115)+COUNTIF('261022'!$I$18:$I$47,$C115)</f>
        <v>0</v>
      </c>
      <c r="AA115" s="17">
        <f>COUNTIF('261023'!$C$18:$C$47,$C115)+COUNTIF('261023'!$I$18:$I$47,$C115)</f>
        <v>0</v>
      </c>
      <c r="AB115" s="17">
        <f>COUNTIF('261024'!$C$18:$C$47,$C115)+COUNTIF('261024'!$I$18:$I$47,$C115)</f>
        <v>0</v>
      </c>
      <c r="AC115" s="17">
        <f>COUNTIF('261025'!$C$18:$C$47,$C115)+COUNTIF('261025'!$I$18:$I$47,$C115)</f>
        <v>0</v>
      </c>
      <c r="AD115" s="17">
        <f>COUNTIF('261026'!$C$18:$C$47,$C115)+COUNTIF('261026'!$I$18:$I$47,$C115)</f>
        <v>0</v>
      </c>
      <c r="AE115" s="17">
        <f>COUNTIF('261027'!$C$18:$C$47,$C115)+COUNTIF('261027'!$I$18:$I$47,$C115)</f>
        <v>0</v>
      </c>
      <c r="AF115" s="17">
        <f>COUNTIF('261028'!$C$18:$C$47,$C115)+COUNTIF('261028'!$I$18:$I$47,$C115)</f>
        <v>0</v>
      </c>
      <c r="AG115" s="17">
        <f>COUNTIF('261029'!$C$18:$C$47,$C115)+COUNTIF('261029'!$I$18:$I$47,$C115)</f>
        <v>0</v>
      </c>
      <c r="AH115" s="17">
        <f>COUNTIF('261030'!$C$18:$C$47,$C115)+COUNTIF('261030'!$I$18:$I$47,$C115)</f>
        <v>0</v>
      </c>
      <c r="AI115" s="17">
        <f>COUNTIF('261031'!$C$18:$C$47,$C115)+COUNTIF('261031'!$I$18:$I$47,$C115)</f>
        <v>0</v>
      </c>
      <c r="AJ115" s="108">
        <f t="shared" si="5"/>
        <v>0</v>
      </c>
      <c r="AL115" s="16"/>
      <c r="AM115" s="16"/>
    </row>
    <row r="116" spans="2:39" ht="20.100000000000001" customHeight="1" x14ac:dyDescent="0.3">
      <c r="B116" s="36">
        <f t="shared" si="6"/>
        <v>112</v>
      </c>
      <c r="C116" s="19"/>
      <c r="D116" s="19"/>
      <c r="E116" s="17">
        <f>COUNTIF('261001'!$C$18:$C$47,$C116)+COUNTIF('261001'!$I$18:$I$47,$C116)</f>
        <v>0</v>
      </c>
      <c r="F116" s="17">
        <f>COUNTIF('261002'!$C$18:$C$47,$C116)+COUNTIF('261002'!$I$18:$I$47,$C116)</f>
        <v>0</v>
      </c>
      <c r="G116" s="17">
        <f>COUNTIF('261003'!$C$18:$C$47,$C116)+COUNTIF('261003'!$I$18:$I$47,$C116)</f>
        <v>0</v>
      </c>
      <c r="H116" s="17">
        <f>COUNTIF('261004'!$C$18:$C$47,$C116)+COUNTIF('261004'!$I$18:$I$47,$C116)</f>
        <v>0</v>
      </c>
      <c r="I116" s="17">
        <f>COUNTIF('261005'!$C$18:$C$47,$C116)+COUNTIF('261005'!$I$18:$I$47,$C116)</f>
        <v>0</v>
      </c>
      <c r="J116" s="17">
        <f>COUNTIF('261006'!$C$18:$C$47,$C116)+COUNTIF('261006'!$I$18:$I$47,$C116)</f>
        <v>0</v>
      </c>
      <c r="K116" s="17">
        <f>COUNTIF('261007'!$C$18:$C$47,$C116)+COUNTIF('261007'!$I$18:$I$47,$C116)</f>
        <v>0</v>
      </c>
      <c r="L116" s="17">
        <f>COUNTIF('261008'!$C$18:$C$47,$C116)+COUNTIF('261008'!$I$18:$I$47,$C116)</f>
        <v>0</v>
      </c>
      <c r="M116" s="17">
        <f>COUNTIF('261009'!$C$18:$C$47,$C116)+COUNTIF('261009'!$I$18:$I$47,$C116)</f>
        <v>0</v>
      </c>
      <c r="N116" s="17">
        <f>COUNTIF('261010'!$C$18:$C$47,$C116)+COUNTIF('261010'!$I$18:$I$47,$C116)</f>
        <v>0</v>
      </c>
      <c r="O116" s="17">
        <f>COUNTIF('261011'!$C$18:$C$47,$C116)+COUNTIF('261011'!$I$18:$I$47,$C116)</f>
        <v>0</v>
      </c>
      <c r="P116" s="17">
        <f>COUNTIF('261012'!$C$18:$C$47,$C116)+COUNTIF('261012'!$I$18:$I$47,$C116)</f>
        <v>0</v>
      </c>
      <c r="Q116" s="17">
        <f>COUNTIF('261013'!$C$18:$C$47,$C116)+COUNTIF('261013'!$I$18:$I$47,$C116)</f>
        <v>0</v>
      </c>
      <c r="R116" s="17">
        <f>COUNTIF('261014'!$C$18:$C$47,$C116)+COUNTIF('261014'!$I$18:$I$47,$C116)</f>
        <v>0</v>
      </c>
      <c r="S116" s="17">
        <f>COUNTIF('261015'!$C$18:$C$47,$C116)+COUNTIF('261015'!$I$18:$I$47,$C116)</f>
        <v>0</v>
      </c>
      <c r="T116" s="17">
        <f>COUNTIF('261016'!$C$18:$C$47,$C116)+COUNTIF('261016'!$I$18:$I$47,$C116)</f>
        <v>0</v>
      </c>
      <c r="U116" s="17">
        <f>COUNTIF('261017'!$C$18:$C$47,$C116)+COUNTIF('261017'!$I$18:$I$47,$C116)</f>
        <v>0</v>
      </c>
      <c r="V116" s="17">
        <f>COUNTIF('261018'!$C$18:$C$47,$C116)+COUNTIF('261018'!$I$18:$I$47,$C116)</f>
        <v>0</v>
      </c>
      <c r="W116" s="17">
        <f>COUNTIF('261019'!$C$18:$C$47,$C116)+COUNTIF('261019'!$I$18:$I$47,$C116)</f>
        <v>0</v>
      </c>
      <c r="X116" s="17">
        <f>COUNTIF('261020'!$C$18:$C$47,$C116)+COUNTIF('261020'!$I$18:$I$47,$C116)</f>
        <v>0</v>
      </c>
      <c r="Y116" s="17">
        <f>COUNTIF('261021'!$C$18:$C$47,$C116)+COUNTIF('261021'!$I$18:$I$47,$C116)</f>
        <v>0</v>
      </c>
      <c r="Z116" s="17">
        <f>COUNTIF('261022'!$C$18:$C$47,$C116)+COUNTIF('261022'!$I$18:$I$47,$C116)</f>
        <v>0</v>
      </c>
      <c r="AA116" s="17">
        <f>COUNTIF('261023'!$C$18:$C$47,$C116)+COUNTIF('261023'!$I$18:$I$47,$C116)</f>
        <v>0</v>
      </c>
      <c r="AB116" s="17">
        <f>COUNTIF('261024'!$C$18:$C$47,$C116)+COUNTIF('261024'!$I$18:$I$47,$C116)</f>
        <v>0</v>
      </c>
      <c r="AC116" s="17">
        <f>COUNTIF('261025'!$C$18:$C$47,$C116)+COUNTIF('261025'!$I$18:$I$47,$C116)</f>
        <v>0</v>
      </c>
      <c r="AD116" s="17">
        <f>COUNTIF('261026'!$C$18:$C$47,$C116)+COUNTIF('261026'!$I$18:$I$47,$C116)</f>
        <v>0</v>
      </c>
      <c r="AE116" s="17">
        <f>COUNTIF('261027'!$C$18:$C$47,$C116)+COUNTIF('261027'!$I$18:$I$47,$C116)</f>
        <v>0</v>
      </c>
      <c r="AF116" s="17">
        <f>COUNTIF('261028'!$C$18:$C$47,$C116)+COUNTIF('261028'!$I$18:$I$47,$C116)</f>
        <v>0</v>
      </c>
      <c r="AG116" s="17">
        <f>COUNTIF('261029'!$C$18:$C$47,$C116)+COUNTIF('261029'!$I$18:$I$47,$C116)</f>
        <v>0</v>
      </c>
      <c r="AH116" s="17">
        <f>COUNTIF('261030'!$C$18:$C$47,$C116)+COUNTIF('261030'!$I$18:$I$47,$C116)</f>
        <v>0</v>
      </c>
      <c r="AI116" s="17">
        <f>COUNTIF('261031'!$C$18:$C$47,$C116)+COUNTIF('261031'!$I$18:$I$47,$C116)</f>
        <v>0</v>
      </c>
      <c r="AJ116" s="108">
        <f t="shared" si="5"/>
        <v>0</v>
      </c>
      <c r="AL116" s="16"/>
      <c r="AM116" s="16"/>
    </row>
    <row r="117" spans="2:39" ht="20.100000000000001" customHeight="1" x14ac:dyDescent="0.3">
      <c r="B117" s="36">
        <f t="shared" si="6"/>
        <v>113</v>
      </c>
      <c r="C117" s="19"/>
      <c r="D117" s="19"/>
      <c r="E117" s="17">
        <f>COUNTIF('261001'!$C$18:$C$47,$C117)+COUNTIF('261001'!$I$18:$I$47,$C117)</f>
        <v>0</v>
      </c>
      <c r="F117" s="17">
        <f>COUNTIF('261002'!$C$18:$C$47,$C117)+COUNTIF('261002'!$I$18:$I$47,$C117)</f>
        <v>0</v>
      </c>
      <c r="G117" s="17">
        <f>COUNTIF('261003'!$C$18:$C$47,$C117)+COUNTIF('261003'!$I$18:$I$47,$C117)</f>
        <v>0</v>
      </c>
      <c r="H117" s="17">
        <f>COUNTIF('261004'!$C$18:$C$47,$C117)+COUNTIF('261004'!$I$18:$I$47,$C117)</f>
        <v>0</v>
      </c>
      <c r="I117" s="17">
        <f>COUNTIF('261005'!$C$18:$C$47,$C117)+COUNTIF('261005'!$I$18:$I$47,$C117)</f>
        <v>0</v>
      </c>
      <c r="J117" s="17">
        <f>COUNTIF('261006'!$C$18:$C$47,$C117)+COUNTIF('261006'!$I$18:$I$47,$C117)</f>
        <v>0</v>
      </c>
      <c r="K117" s="17">
        <f>COUNTIF('261007'!$C$18:$C$47,$C117)+COUNTIF('261007'!$I$18:$I$47,$C117)</f>
        <v>0</v>
      </c>
      <c r="L117" s="17">
        <f>COUNTIF('261008'!$C$18:$C$47,$C117)+COUNTIF('261008'!$I$18:$I$47,$C117)</f>
        <v>0</v>
      </c>
      <c r="M117" s="17">
        <f>COUNTIF('261009'!$C$18:$C$47,$C117)+COUNTIF('261009'!$I$18:$I$47,$C117)</f>
        <v>0</v>
      </c>
      <c r="N117" s="17">
        <f>COUNTIF('261010'!$C$18:$C$47,$C117)+COUNTIF('261010'!$I$18:$I$47,$C117)</f>
        <v>0</v>
      </c>
      <c r="O117" s="17">
        <f>COUNTIF('261011'!$C$18:$C$47,$C117)+COUNTIF('261011'!$I$18:$I$47,$C117)</f>
        <v>0</v>
      </c>
      <c r="P117" s="17">
        <f>COUNTIF('261012'!$C$18:$C$47,$C117)+COUNTIF('261012'!$I$18:$I$47,$C117)</f>
        <v>0</v>
      </c>
      <c r="Q117" s="17">
        <f>COUNTIF('261013'!$C$18:$C$47,$C117)+COUNTIF('261013'!$I$18:$I$47,$C117)</f>
        <v>0</v>
      </c>
      <c r="R117" s="17">
        <f>COUNTIF('261014'!$C$18:$C$47,$C117)+COUNTIF('261014'!$I$18:$I$47,$C117)</f>
        <v>0</v>
      </c>
      <c r="S117" s="17">
        <f>COUNTIF('261015'!$C$18:$C$47,$C117)+COUNTIF('261015'!$I$18:$I$47,$C117)</f>
        <v>0</v>
      </c>
      <c r="T117" s="17">
        <f>COUNTIF('261016'!$C$18:$C$47,$C117)+COUNTIF('261016'!$I$18:$I$47,$C117)</f>
        <v>0</v>
      </c>
      <c r="U117" s="17">
        <f>COUNTIF('261017'!$C$18:$C$47,$C117)+COUNTIF('261017'!$I$18:$I$47,$C117)</f>
        <v>0</v>
      </c>
      <c r="V117" s="17">
        <f>COUNTIF('261018'!$C$18:$C$47,$C117)+COUNTIF('261018'!$I$18:$I$47,$C117)</f>
        <v>0</v>
      </c>
      <c r="W117" s="17">
        <f>COUNTIF('261019'!$C$18:$C$47,$C117)+COUNTIF('261019'!$I$18:$I$47,$C117)</f>
        <v>0</v>
      </c>
      <c r="X117" s="17">
        <f>COUNTIF('261020'!$C$18:$C$47,$C117)+COUNTIF('261020'!$I$18:$I$47,$C117)</f>
        <v>0</v>
      </c>
      <c r="Y117" s="17">
        <f>COUNTIF('261021'!$C$18:$C$47,$C117)+COUNTIF('261021'!$I$18:$I$47,$C117)</f>
        <v>0</v>
      </c>
      <c r="Z117" s="17">
        <f>COUNTIF('261022'!$C$18:$C$47,$C117)+COUNTIF('261022'!$I$18:$I$47,$C117)</f>
        <v>0</v>
      </c>
      <c r="AA117" s="17">
        <f>COUNTIF('261023'!$C$18:$C$47,$C117)+COUNTIF('261023'!$I$18:$I$47,$C117)</f>
        <v>0</v>
      </c>
      <c r="AB117" s="17">
        <f>COUNTIF('261024'!$C$18:$C$47,$C117)+COUNTIF('261024'!$I$18:$I$47,$C117)</f>
        <v>0</v>
      </c>
      <c r="AC117" s="17">
        <f>COUNTIF('261025'!$C$18:$C$47,$C117)+COUNTIF('261025'!$I$18:$I$47,$C117)</f>
        <v>0</v>
      </c>
      <c r="AD117" s="17">
        <f>COUNTIF('261026'!$C$18:$C$47,$C117)+COUNTIF('261026'!$I$18:$I$47,$C117)</f>
        <v>0</v>
      </c>
      <c r="AE117" s="17">
        <f>COUNTIF('261027'!$C$18:$C$47,$C117)+COUNTIF('261027'!$I$18:$I$47,$C117)</f>
        <v>0</v>
      </c>
      <c r="AF117" s="17">
        <f>COUNTIF('261028'!$C$18:$C$47,$C117)+COUNTIF('261028'!$I$18:$I$47,$C117)</f>
        <v>0</v>
      </c>
      <c r="AG117" s="17">
        <f>COUNTIF('261029'!$C$18:$C$47,$C117)+COUNTIF('261029'!$I$18:$I$47,$C117)</f>
        <v>0</v>
      </c>
      <c r="AH117" s="17">
        <f>COUNTIF('261030'!$C$18:$C$47,$C117)+COUNTIF('261030'!$I$18:$I$47,$C117)</f>
        <v>0</v>
      </c>
      <c r="AI117" s="17">
        <f>COUNTIF('261031'!$C$18:$C$47,$C117)+COUNTIF('261031'!$I$18:$I$47,$C117)</f>
        <v>0</v>
      </c>
      <c r="AJ117" s="108">
        <f t="shared" si="5"/>
        <v>0</v>
      </c>
      <c r="AL117" s="16"/>
      <c r="AM117" s="16"/>
    </row>
    <row r="118" spans="2:39" ht="20.100000000000001" customHeight="1" x14ac:dyDescent="0.3">
      <c r="B118" s="36">
        <f t="shared" si="6"/>
        <v>114</v>
      </c>
      <c r="C118" s="19"/>
      <c r="D118" s="19"/>
      <c r="E118" s="17">
        <f>COUNTIF('261001'!$C$18:$C$47,$C118)+COUNTIF('261001'!$I$18:$I$47,$C118)</f>
        <v>0</v>
      </c>
      <c r="F118" s="17">
        <f>COUNTIF('261002'!$C$18:$C$47,$C118)+COUNTIF('261002'!$I$18:$I$47,$C118)</f>
        <v>0</v>
      </c>
      <c r="G118" s="17">
        <f>COUNTIF('261003'!$C$18:$C$47,$C118)+COUNTIF('261003'!$I$18:$I$47,$C118)</f>
        <v>0</v>
      </c>
      <c r="H118" s="17">
        <f>COUNTIF('261004'!$C$18:$C$47,$C118)+COUNTIF('261004'!$I$18:$I$47,$C118)</f>
        <v>0</v>
      </c>
      <c r="I118" s="17">
        <f>COUNTIF('261005'!$C$18:$C$47,$C118)+COUNTIF('261005'!$I$18:$I$47,$C118)</f>
        <v>0</v>
      </c>
      <c r="J118" s="17">
        <f>COUNTIF('261006'!$C$18:$C$47,$C118)+COUNTIF('261006'!$I$18:$I$47,$C118)</f>
        <v>0</v>
      </c>
      <c r="K118" s="17">
        <f>COUNTIF('261007'!$C$18:$C$47,$C118)+COUNTIF('261007'!$I$18:$I$47,$C118)</f>
        <v>0</v>
      </c>
      <c r="L118" s="17">
        <f>COUNTIF('261008'!$C$18:$C$47,$C118)+COUNTIF('261008'!$I$18:$I$47,$C118)</f>
        <v>0</v>
      </c>
      <c r="M118" s="17">
        <f>COUNTIF('261009'!$C$18:$C$47,$C118)+COUNTIF('261009'!$I$18:$I$47,$C118)</f>
        <v>0</v>
      </c>
      <c r="N118" s="17">
        <f>COUNTIF('261010'!$C$18:$C$47,$C118)+COUNTIF('261010'!$I$18:$I$47,$C118)</f>
        <v>0</v>
      </c>
      <c r="O118" s="17">
        <f>COUNTIF('261011'!$C$18:$C$47,$C118)+COUNTIF('261011'!$I$18:$I$47,$C118)</f>
        <v>0</v>
      </c>
      <c r="P118" s="17">
        <f>COUNTIF('261012'!$C$18:$C$47,$C118)+COUNTIF('261012'!$I$18:$I$47,$C118)</f>
        <v>0</v>
      </c>
      <c r="Q118" s="17">
        <f>COUNTIF('261013'!$C$18:$C$47,$C118)+COUNTIF('261013'!$I$18:$I$47,$C118)</f>
        <v>0</v>
      </c>
      <c r="R118" s="17">
        <f>COUNTIF('261014'!$C$18:$C$47,$C118)+COUNTIF('261014'!$I$18:$I$47,$C118)</f>
        <v>0</v>
      </c>
      <c r="S118" s="17">
        <f>COUNTIF('261015'!$C$18:$C$47,$C118)+COUNTIF('261015'!$I$18:$I$47,$C118)</f>
        <v>0</v>
      </c>
      <c r="T118" s="17">
        <f>COUNTIF('261016'!$C$18:$C$47,$C118)+COUNTIF('261016'!$I$18:$I$47,$C118)</f>
        <v>0</v>
      </c>
      <c r="U118" s="17">
        <f>COUNTIF('261017'!$C$18:$C$47,$C118)+COUNTIF('261017'!$I$18:$I$47,$C118)</f>
        <v>0</v>
      </c>
      <c r="V118" s="17">
        <f>COUNTIF('261018'!$C$18:$C$47,$C118)+COUNTIF('261018'!$I$18:$I$47,$C118)</f>
        <v>0</v>
      </c>
      <c r="W118" s="17">
        <f>COUNTIF('261019'!$C$18:$C$47,$C118)+COUNTIF('261019'!$I$18:$I$47,$C118)</f>
        <v>0</v>
      </c>
      <c r="X118" s="17">
        <f>COUNTIF('261020'!$C$18:$C$47,$C118)+COUNTIF('261020'!$I$18:$I$47,$C118)</f>
        <v>0</v>
      </c>
      <c r="Y118" s="17">
        <f>COUNTIF('261021'!$C$18:$C$47,$C118)+COUNTIF('261021'!$I$18:$I$47,$C118)</f>
        <v>0</v>
      </c>
      <c r="Z118" s="17">
        <f>COUNTIF('261022'!$C$18:$C$47,$C118)+COUNTIF('261022'!$I$18:$I$47,$C118)</f>
        <v>0</v>
      </c>
      <c r="AA118" s="17">
        <f>COUNTIF('261023'!$C$18:$C$47,$C118)+COUNTIF('261023'!$I$18:$I$47,$C118)</f>
        <v>0</v>
      </c>
      <c r="AB118" s="17">
        <f>COUNTIF('261024'!$C$18:$C$47,$C118)+COUNTIF('261024'!$I$18:$I$47,$C118)</f>
        <v>0</v>
      </c>
      <c r="AC118" s="17">
        <f>COUNTIF('261025'!$C$18:$C$47,$C118)+COUNTIF('261025'!$I$18:$I$47,$C118)</f>
        <v>0</v>
      </c>
      <c r="AD118" s="17">
        <f>COUNTIF('261026'!$C$18:$C$47,$C118)+COUNTIF('261026'!$I$18:$I$47,$C118)</f>
        <v>0</v>
      </c>
      <c r="AE118" s="17">
        <f>COUNTIF('261027'!$C$18:$C$47,$C118)+COUNTIF('261027'!$I$18:$I$47,$C118)</f>
        <v>0</v>
      </c>
      <c r="AF118" s="17">
        <f>COUNTIF('261028'!$C$18:$C$47,$C118)+COUNTIF('261028'!$I$18:$I$47,$C118)</f>
        <v>0</v>
      </c>
      <c r="AG118" s="17">
        <f>COUNTIF('261029'!$C$18:$C$47,$C118)+COUNTIF('261029'!$I$18:$I$47,$C118)</f>
        <v>0</v>
      </c>
      <c r="AH118" s="17">
        <f>COUNTIF('261030'!$C$18:$C$47,$C118)+COUNTIF('261030'!$I$18:$I$47,$C118)</f>
        <v>0</v>
      </c>
      <c r="AI118" s="17">
        <f>COUNTIF('261031'!$C$18:$C$47,$C118)+COUNTIF('261031'!$I$18:$I$47,$C118)</f>
        <v>0</v>
      </c>
      <c r="AJ118" s="108">
        <f t="shared" si="5"/>
        <v>0</v>
      </c>
      <c r="AL118" s="16"/>
      <c r="AM118" s="16"/>
    </row>
    <row r="119" spans="2:39" ht="20.100000000000001" customHeight="1" x14ac:dyDescent="0.3">
      <c r="B119" s="36">
        <f t="shared" si="6"/>
        <v>115</v>
      </c>
      <c r="C119" s="19"/>
      <c r="D119" s="19"/>
      <c r="E119" s="17">
        <f>COUNTIF('261001'!$C$18:$C$47,$C119)+COUNTIF('261001'!$I$18:$I$47,$C119)</f>
        <v>0</v>
      </c>
      <c r="F119" s="17">
        <f>COUNTIF('261002'!$C$18:$C$47,$C119)+COUNTIF('261002'!$I$18:$I$47,$C119)</f>
        <v>0</v>
      </c>
      <c r="G119" s="17">
        <f>COUNTIF('261003'!$C$18:$C$47,$C119)+COUNTIF('261003'!$I$18:$I$47,$C119)</f>
        <v>0</v>
      </c>
      <c r="H119" s="17">
        <f>COUNTIF('261004'!$C$18:$C$47,$C119)+COUNTIF('261004'!$I$18:$I$47,$C119)</f>
        <v>0</v>
      </c>
      <c r="I119" s="17">
        <f>COUNTIF('261005'!$C$18:$C$47,$C119)+COUNTIF('261005'!$I$18:$I$47,$C119)</f>
        <v>0</v>
      </c>
      <c r="J119" s="17">
        <f>COUNTIF('261006'!$C$18:$C$47,$C119)+COUNTIF('261006'!$I$18:$I$47,$C119)</f>
        <v>0</v>
      </c>
      <c r="K119" s="17">
        <f>COUNTIF('261007'!$C$18:$C$47,$C119)+COUNTIF('261007'!$I$18:$I$47,$C119)</f>
        <v>0</v>
      </c>
      <c r="L119" s="17">
        <f>COUNTIF('261008'!$C$18:$C$47,$C119)+COUNTIF('261008'!$I$18:$I$47,$C119)</f>
        <v>0</v>
      </c>
      <c r="M119" s="17">
        <f>COUNTIF('261009'!$C$18:$C$47,$C119)+COUNTIF('261009'!$I$18:$I$47,$C119)</f>
        <v>0</v>
      </c>
      <c r="N119" s="17">
        <f>COUNTIF('261010'!$C$18:$C$47,$C119)+COUNTIF('261010'!$I$18:$I$47,$C119)</f>
        <v>0</v>
      </c>
      <c r="O119" s="17">
        <f>COUNTIF('261011'!$C$18:$C$47,$C119)+COUNTIF('261011'!$I$18:$I$47,$C119)</f>
        <v>0</v>
      </c>
      <c r="P119" s="17">
        <f>COUNTIF('261012'!$C$18:$C$47,$C119)+COUNTIF('261012'!$I$18:$I$47,$C119)</f>
        <v>0</v>
      </c>
      <c r="Q119" s="17">
        <f>COUNTIF('261013'!$C$18:$C$47,$C119)+COUNTIF('261013'!$I$18:$I$47,$C119)</f>
        <v>0</v>
      </c>
      <c r="R119" s="17">
        <f>COUNTIF('261014'!$C$18:$C$47,$C119)+COUNTIF('261014'!$I$18:$I$47,$C119)</f>
        <v>0</v>
      </c>
      <c r="S119" s="17">
        <f>COUNTIF('261015'!$C$18:$C$47,$C119)+COUNTIF('261015'!$I$18:$I$47,$C119)</f>
        <v>0</v>
      </c>
      <c r="T119" s="17">
        <f>COUNTIF('261016'!$C$18:$C$47,$C119)+COUNTIF('261016'!$I$18:$I$47,$C119)</f>
        <v>0</v>
      </c>
      <c r="U119" s="17">
        <f>COUNTIF('261017'!$C$18:$C$47,$C119)+COUNTIF('261017'!$I$18:$I$47,$C119)</f>
        <v>0</v>
      </c>
      <c r="V119" s="17">
        <f>COUNTIF('261018'!$C$18:$C$47,$C119)+COUNTIF('261018'!$I$18:$I$47,$C119)</f>
        <v>0</v>
      </c>
      <c r="W119" s="17">
        <f>COUNTIF('261019'!$C$18:$C$47,$C119)+COUNTIF('261019'!$I$18:$I$47,$C119)</f>
        <v>0</v>
      </c>
      <c r="X119" s="17">
        <f>COUNTIF('261020'!$C$18:$C$47,$C119)+COUNTIF('261020'!$I$18:$I$47,$C119)</f>
        <v>0</v>
      </c>
      <c r="Y119" s="17">
        <f>COUNTIF('261021'!$C$18:$C$47,$C119)+COUNTIF('261021'!$I$18:$I$47,$C119)</f>
        <v>0</v>
      </c>
      <c r="Z119" s="17">
        <f>COUNTIF('261022'!$C$18:$C$47,$C119)+COUNTIF('261022'!$I$18:$I$47,$C119)</f>
        <v>0</v>
      </c>
      <c r="AA119" s="17">
        <f>COUNTIF('261023'!$C$18:$C$47,$C119)+COUNTIF('261023'!$I$18:$I$47,$C119)</f>
        <v>0</v>
      </c>
      <c r="AB119" s="17">
        <f>COUNTIF('261024'!$C$18:$C$47,$C119)+COUNTIF('261024'!$I$18:$I$47,$C119)</f>
        <v>0</v>
      </c>
      <c r="AC119" s="17">
        <f>COUNTIF('261025'!$C$18:$C$47,$C119)+COUNTIF('261025'!$I$18:$I$47,$C119)</f>
        <v>0</v>
      </c>
      <c r="AD119" s="17">
        <f>COUNTIF('261026'!$C$18:$C$47,$C119)+COUNTIF('261026'!$I$18:$I$47,$C119)</f>
        <v>0</v>
      </c>
      <c r="AE119" s="17">
        <f>COUNTIF('261027'!$C$18:$C$47,$C119)+COUNTIF('261027'!$I$18:$I$47,$C119)</f>
        <v>0</v>
      </c>
      <c r="AF119" s="17">
        <f>COUNTIF('261028'!$C$18:$C$47,$C119)+COUNTIF('261028'!$I$18:$I$47,$C119)</f>
        <v>0</v>
      </c>
      <c r="AG119" s="17">
        <f>COUNTIF('261029'!$C$18:$C$47,$C119)+COUNTIF('261029'!$I$18:$I$47,$C119)</f>
        <v>0</v>
      </c>
      <c r="AH119" s="17">
        <f>COUNTIF('261030'!$C$18:$C$47,$C119)+COUNTIF('261030'!$I$18:$I$47,$C119)</f>
        <v>0</v>
      </c>
      <c r="AI119" s="17">
        <f>COUNTIF('261031'!$C$18:$C$47,$C119)+COUNTIF('261031'!$I$18:$I$47,$C119)</f>
        <v>0</v>
      </c>
      <c r="AJ119" s="108">
        <f t="shared" si="5"/>
        <v>0</v>
      </c>
      <c r="AL119" s="16"/>
      <c r="AM119" s="16"/>
    </row>
    <row r="120" spans="2:39" ht="20.100000000000001" customHeight="1" x14ac:dyDescent="0.3">
      <c r="B120" s="36">
        <f t="shared" si="6"/>
        <v>116</v>
      </c>
      <c r="C120" s="19"/>
      <c r="D120" s="19"/>
      <c r="E120" s="17">
        <f>COUNTIF('261001'!$C$18:$C$47,$C120)+COUNTIF('261001'!$I$18:$I$47,$C120)</f>
        <v>0</v>
      </c>
      <c r="F120" s="17">
        <f>COUNTIF('261002'!$C$18:$C$47,$C120)+COUNTIF('261002'!$I$18:$I$47,$C120)</f>
        <v>0</v>
      </c>
      <c r="G120" s="17">
        <f>COUNTIF('261003'!$C$18:$C$47,$C120)+COUNTIF('261003'!$I$18:$I$47,$C120)</f>
        <v>0</v>
      </c>
      <c r="H120" s="17">
        <f>COUNTIF('261004'!$C$18:$C$47,$C120)+COUNTIF('261004'!$I$18:$I$47,$C120)</f>
        <v>0</v>
      </c>
      <c r="I120" s="17">
        <f>COUNTIF('261005'!$C$18:$C$47,$C120)+COUNTIF('261005'!$I$18:$I$47,$C120)</f>
        <v>0</v>
      </c>
      <c r="J120" s="17">
        <f>COUNTIF('261006'!$C$18:$C$47,$C120)+COUNTIF('261006'!$I$18:$I$47,$C120)</f>
        <v>0</v>
      </c>
      <c r="K120" s="17">
        <f>COUNTIF('261007'!$C$18:$C$47,$C120)+COUNTIF('261007'!$I$18:$I$47,$C120)</f>
        <v>0</v>
      </c>
      <c r="L120" s="17">
        <f>COUNTIF('261008'!$C$18:$C$47,$C120)+COUNTIF('261008'!$I$18:$I$47,$C120)</f>
        <v>0</v>
      </c>
      <c r="M120" s="17">
        <f>COUNTIF('261009'!$C$18:$C$47,$C120)+COUNTIF('261009'!$I$18:$I$47,$C120)</f>
        <v>0</v>
      </c>
      <c r="N120" s="17">
        <f>COUNTIF('261010'!$C$18:$C$47,$C120)+COUNTIF('261010'!$I$18:$I$47,$C120)</f>
        <v>0</v>
      </c>
      <c r="O120" s="17">
        <f>COUNTIF('261011'!$C$18:$C$47,$C120)+COUNTIF('261011'!$I$18:$I$47,$C120)</f>
        <v>0</v>
      </c>
      <c r="P120" s="17">
        <f>COUNTIF('261012'!$C$18:$C$47,$C120)+COUNTIF('261012'!$I$18:$I$47,$C120)</f>
        <v>0</v>
      </c>
      <c r="Q120" s="17">
        <f>COUNTIF('261013'!$C$18:$C$47,$C120)+COUNTIF('261013'!$I$18:$I$47,$C120)</f>
        <v>0</v>
      </c>
      <c r="R120" s="17">
        <f>COUNTIF('261014'!$C$18:$C$47,$C120)+COUNTIF('261014'!$I$18:$I$47,$C120)</f>
        <v>0</v>
      </c>
      <c r="S120" s="17">
        <f>COUNTIF('261015'!$C$18:$C$47,$C120)+COUNTIF('261015'!$I$18:$I$47,$C120)</f>
        <v>0</v>
      </c>
      <c r="T120" s="17">
        <f>COUNTIF('261016'!$C$18:$C$47,$C120)+COUNTIF('261016'!$I$18:$I$47,$C120)</f>
        <v>0</v>
      </c>
      <c r="U120" s="17">
        <f>COUNTIF('261017'!$C$18:$C$47,$C120)+COUNTIF('261017'!$I$18:$I$47,$C120)</f>
        <v>0</v>
      </c>
      <c r="V120" s="17">
        <f>COUNTIF('261018'!$C$18:$C$47,$C120)+COUNTIF('261018'!$I$18:$I$47,$C120)</f>
        <v>0</v>
      </c>
      <c r="W120" s="17">
        <f>COUNTIF('261019'!$C$18:$C$47,$C120)+COUNTIF('261019'!$I$18:$I$47,$C120)</f>
        <v>0</v>
      </c>
      <c r="X120" s="17">
        <f>COUNTIF('261020'!$C$18:$C$47,$C120)+COUNTIF('261020'!$I$18:$I$47,$C120)</f>
        <v>0</v>
      </c>
      <c r="Y120" s="17">
        <f>COUNTIF('261021'!$C$18:$C$47,$C120)+COUNTIF('261021'!$I$18:$I$47,$C120)</f>
        <v>0</v>
      </c>
      <c r="Z120" s="17">
        <f>COUNTIF('261022'!$C$18:$C$47,$C120)+COUNTIF('261022'!$I$18:$I$47,$C120)</f>
        <v>0</v>
      </c>
      <c r="AA120" s="17">
        <f>COUNTIF('261023'!$C$18:$C$47,$C120)+COUNTIF('261023'!$I$18:$I$47,$C120)</f>
        <v>0</v>
      </c>
      <c r="AB120" s="17">
        <f>COUNTIF('261024'!$C$18:$C$47,$C120)+COUNTIF('261024'!$I$18:$I$47,$C120)</f>
        <v>0</v>
      </c>
      <c r="AC120" s="17">
        <f>COUNTIF('261025'!$C$18:$C$47,$C120)+COUNTIF('261025'!$I$18:$I$47,$C120)</f>
        <v>0</v>
      </c>
      <c r="AD120" s="17">
        <f>COUNTIF('261026'!$C$18:$C$47,$C120)+COUNTIF('261026'!$I$18:$I$47,$C120)</f>
        <v>0</v>
      </c>
      <c r="AE120" s="17">
        <f>COUNTIF('261027'!$C$18:$C$47,$C120)+COUNTIF('261027'!$I$18:$I$47,$C120)</f>
        <v>0</v>
      </c>
      <c r="AF120" s="17">
        <f>COUNTIF('261028'!$C$18:$C$47,$C120)+COUNTIF('261028'!$I$18:$I$47,$C120)</f>
        <v>0</v>
      </c>
      <c r="AG120" s="17">
        <f>COUNTIF('261029'!$C$18:$C$47,$C120)+COUNTIF('261029'!$I$18:$I$47,$C120)</f>
        <v>0</v>
      </c>
      <c r="AH120" s="17">
        <f>COUNTIF('261030'!$C$18:$C$47,$C120)+COUNTIF('261030'!$I$18:$I$47,$C120)</f>
        <v>0</v>
      </c>
      <c r="AI120" s="17">
        <f>COUNTIF('261031'!$C$18:$C$47,$C120)+COUNTIF('261031'!$I$18:$I$47,$C120)</f>
        <v>0</v>
      </c>
      <c r="AJ120" s="108">
        <f t="shared" si="5"/>
        <v>0</v>
      </c>
      <c r="AL120" s="16"/>
      <c r="AM120" s="16"/>
    </row>
    <row r="121" spans="2:39" ht="20.100000000000001" customHeight="1" x14ac:dyDescent="0.3">
      <c r="B121" s="36">
        <f t="shared" si="6"/>
        <v>117</v>
      </c>
      <c r="C121" s="19"/>
      <c r="D121" s="19"/>
      <c r="E121" s="17">
        <f>COUNTIF('261001'!$C$18:$C$47,$C121)+COUNTIF('261001'!$I$18:$I$47,$C121)</f>
        <v>0</v>
      </c>
      <c r="F121" s="17">
        <f>COUNTIF('261002'!$C$18:$C$47,$C121)+COUNTIF('261002'!$I$18:$I$47,$C121)</f>
        <v>0</v>
      </c>
      <c r="G121" s="17">
        <f>COUNTIF('261003'!$C$18:$C$47,$C121)+COUNTIF('261003'!$I$18:$I$47,$C121)</f>
        <v>0</v>
      </c>
      <c r="H121" s="17">
        <f>COUNTIF('261004'!$C$18:$C$47,$C121)+COUNTIF('261004'!$I$18:$I$47,$C121)</f>
        <v>0</v>
      </c>
      <c r="I121" s="17">
        <f>COUNTIF('261005'!$C$18:$C$47,$C121)+COUNTIF('261005'!$I$18:$I$47,$C121)</f>
        <v>0</v>
      </c>
      <c r="J121" s="17">
        <f>COUNTIF('261006'!$C$18:$C$47,$C121)+COUNTIF('261006'!$I$18:$I$47,$C121)</f>
        <v>0</v>
      </c>
      <c r="K121" s="17">
        <f>COUNTIF('261007'!$C$18:$C$47,$C121)+COUNTIF('261007'!$I$18:$I$47,$C121)</f>
        <v>0</v>
      </c>
      <c r="L121" s="17">
        <f>COUNTIF('261008'!$C$18:$C$47,$C121)+COUNTIF('261008'!$I$18:$I$47,$C121)</f>
        <v>0</v>
      </c>
      <c r="M121" s="17">
        <f>COUNTIF('261009'!$C$18:$C$47,$C121)+COUNTIF('261009'!$I$18:$I$47,$C121)</f>
        <v>0</v>
      </c>
      <c r="N121" s="17">
        <f>COUNTIF('261010'!$C$18:$C$47,$C121)+COUNTIF('261010'!$I$18:$I$47,$C121)</f>
        <v>0</v>
      </c>
      <c r="O121" s="17">
        <f>COUNTIF('261011'!$C$18:$C$47,$C121)+COUNTIF('261011'!$I$18:$I$47,$C121)</f>
        <v>0</v>
      </c>
      <c r="P121" s="17">
        <f>COUNTIF('261012'!$C$18:$C$47,$C121)+COUNTIF('261012'!$I$18:$I$47,$C121)</f>
        <v>0</v>
      </c>
      <c r="Q121" s="17">
        <f>COUNTIF('261013'!$C$18:$C$47,$C121)+COUNTIF('261013'!$I$18:$I$47,$C121)</f>
        <v>0</v>
      </c>
      <c r="R121" s="17">
        <f>COUNTIF('261014'!$C$18:$C$47,$C121)+COUNTIF('261014'!$I$18:$I$47,$C121)</f>
        <v>0</v>
      </c>
      <c r="S121" s="17">
        <f>COUNTIF('261015'!$C$18:$C$47,$C121)+COUNTIF('261015'!$I$18:$I$47,$C121)</f>
        <v>0</v>
      </c>
      <c r="T121" s="17">
        <f>COUNTIF('261016'!$C$18:$C$47,$C121)+COUNTIF('261016'!$I$18:$I$47,$C121)</f>
        <v>0</v>
      </c>
      <c r="U121" s="17">
        <f>COUNTIF('261017'!$C$18:$C$47,$C121)+COUNTIF('261017'!$I$18:$I$47,$C121)</f>
        <v>0</v>
      </c>
      <c r="V121" s="17">
        <f>COUNTIF('261018'!$C$18:$C$47,$C121)+COUNTIF('261018'!$I$18:$I$47,$C121)</f>
        <v>0</v>
      </c>
      <c r="W121" s="17">
        <f>COUNTIF('261019'!$C$18:$C$47,$C121)+COUNTIF('261019'!$I$18:$I$47,$C121)</f>
        <v>0</v>
      </c>
      <c r="X121" s="17">
        <f>COUNTIF('261020'!$C$18:$C$47,$C121)+COUNTIF('261020'!$I$18:$I$47,$C121)</f>
        <v>0</v>
      </c>
      <c r="Y121" s="17">
        <f>COUNTIF('261021'!$C$18:$C$47,$C121)+COUNTIF('261021'!$I$18:$I$47,$C121)</f>
        <v>0</v>
      </c>
      <c r="Z121" s="17">
        <f>COUNTIF('261022'!$C$18:$C$47,$C121)+COUNTIF('261022'!$I$18:$I$47,$C121)</f>
        <v>0</v>
      </c>
      <c r="AA121" s="17">
        <f>COUNTIF('261023'!$C$18:$C$47,$C121)+COUNTIF('261023'!$I$18:$I$47,$C121)</f>
        <v>0</v>
      </c>
      <c r="AB121" s="17">
        <f>COUNTIF('261024'!$C$18:$C$47,$C121)+COUNTIF('261024'!$I$18:$I$47,$C121)</f>
        <v>0</v>
      </c>
      <c r="AC121" s="17">
        <f>COUNTIF('261025'!$C$18:$C$47,$C121)+COUNTIF('261025'!$I$18:$I$47,$C121)</f>
        <v>0</v>
      </c>
      <c r="AD121" s="17">
        <f>COUNTIF('261026'!$C$18:$C$47,$C121)+COUNTIF('261026'!$I$18:$I$47,$C121)</f>
        <v>0</v>
      </c>
      <c r="AE121" s="17">
        <f>COUNTIF('261027'!$C$18:$C$47,$C121)+COUNTIF('261027'!$I$18:$I$47,$C121)</f>
        <v>0</v>
      </c>
      <c r="AF121" s="17">
        <f>COUNTIF('261028'!$C$18:$C$47,$C121)+COUNTIF('261028'!$I$18:$I$47,$C121)</f>
        <v>0</v>
      </c>
      <c r="AG121" s="17">
        <f>COUNTIF('261029'!$C$18:$C$47,$C121)+COUNTIF('261029'!$I$18:$I$47,$C121)</f>
        <v>0</v>
      </c>
      <c r="AH121" s="17">
        <f>COUNTIF('261030'!$C$18:$C$47,$C121)+COUNTIF('261030'!$I$18:$I$47,$C121)</f>
        <v>0</v>
      </c>
      <c r="AI121" s="17">
        <f>COUNTIF('261031'!$C$18:$C$47,$C121)+COUNTIF('261031'!$I$18:$I$47,$C121)</f>
        <v>0</v>
      </c>
      <c r="AJ121" s="108">
        <f t="shared" si="5"/>
        <v>0</v>
      </c>
      <c r="AL121" s="16"/>
      <c r="AM121" s="16"/>
    </row>
    <row r="122" spans="2:39" ht="20.100000000000001" customHeight="1" x14ac:dyDescent="0.3">
      <c r="B122" s="36">
        <f t="shared" si="6"/>
        <v>118</v>
      </c>
      <c r="C122" s="19"/>
      <c r="D122" s="19"/>
      <c r="E122" s="17">
        <f>COUNTIF('261001'!$C$18:$C$47,$C122)+COUNTIF('261001'!$I$18:$I$47,$C122)</f>
        <v>0</v>
      </c>
      <c r="F122" s="17">
        <f>COUNTIF('261002'!$C$18:$C$47,$C122)+COUNTIF('261002'!$I$18:$I$47,$C122)</f>
        <v>0</v>
      </c>
      <c r="G122" s="17">
        <f>COUNTIF('261003'!$C$18:$C$47,$C122)+COUNTIF('261003'!$I$18:$I$47,$C122)</f>
        <v>0</v>
      </c>
      <c r="H122" s="17">
        <f>COUNTIF('261004'!$C$18:$C$47,$C122)+COUNTIF('261004'!$I$18:$I$47,$C122)</f>
        <v>0</v>
      </c>
      <c r="I122" s="17">
        <f>COUNTIF('261005'!$C$18:$C$47,$C122)+COUNTIF('261005'!$I$18:$I$47,$C122)</f>
        <v>0</v>
      </c>
      <c r="J122" s="17">
        <f>COUNTIF('261006'!$C$18:$C$47,$C122)+COUNTIF('261006'!$I$18:$I$47,$C122)</f>
        <v>0</v>
      </c>
      <c r="K122" s="17">
        <f>COUNTIF('261007'!$C$18:$C$47,$C122)+COUNTIF('261007'!$I$18:$I$47,$C122)</f>
        <v>0</v>
      </c>
      <c r="L122" s="17">
        <f>COUNTIF('261008'!$C$18:$C$47,$C122)+COUNTIF('261008'!$I$18:$I$47,$C122)</f>
        <v>0</v>
      </c>
      <c r="M122" s="17">
        <f>COUNTIF('261009'!$C$18:$C$47,$C122)+COUNTIF('261009'!$I$18:$I$47,$C122)</f>
        <v>0</v>
      </c>
      <c r="N122" s="17">
        <f>COUNTIF('261010'!$C$18:$C$47,$C122)+COUNTIF('261010'!$I$18:$I$47,$C122)</f>
        <v>0</v>
      </c>
      <c r="O122" s="17">
        <f>COUNTIF('261011'!$C$18:$C$47,$C122)+COUNTIF('261011'!$I$18:$I$47,$C122)</f>
        <v>0</v>
      </c>
      <c r="P122" s="17">
        <f>COUNTIF('261012'!$C$18:$C$47,$C122)+COUNTIF('261012'!$I$18:$I$47,$C122)</f>
        <v>0</v>
      </c>
      <c r="Q122" s="17">
        <f>COUNTIF('261013'!$C$18:$C$47,$C122)+COUNTIF('261013'!$I$18:$I$47,$C122)</f>
        <v>0</v>
      </c>
      <c r="R122" s="17">
        <f>COUNTIF('261014'!$C$18:$C$47,$C122)+COUNTIF('261014'!$I$18:$I$47,$C122)</f>
        <v>0</v>
      </c>
      <c r="S122" s="17">
        <f>COUNTIF('261015'!$C$18:$C$47,$C122)+COUNTIF('261015'!$I$18:$I$47,$C122)</f>
        <v>0</v>
      </c>
      <c r="T122" s="17">
        <f>COUNTIF('261016'!$C$18:$C$47,$C122)+COUNTIF('261016'!$I$18:$I$47,$C122)</f>
        <v>0</v>
      </c>
      <c r="U122" s="17">
        <f>COUNTIF('261017'!$C$18:$C$47,$C122)+COUNTIF('261017'!$I$18:$I$47,$C122)</f>
        <v>0</v>
      </c>
      <c r="V122" s="17">
        <f>COUNTIF('261018'!$C$18:$C$47,$C122)+COUNTIF('261018'!$I$18:$I$47,$C122)</f>
        <v>0</v>
      </c>
      <c r="W122" s="17">
        <f>COUNTIF('261019'!$C$18:$C$47,$C122)+COUNTIF('261019'!$I$18:$I$47,$C122)</f>
        <v>0</v>
      </c>
      <c r="X122" s="17">
        <f>COUNTIF('261020'!$C$18:$C$47,$C122)+COUNTIF('261020'!$I$18:$I$47,$C122)</f>
        <v>0</v>
      </c>
      <c r="Y122" s="17">
        <f>COUNTIF('261021'!$C$18:$C$47,$C122)+COUNTIF('261021'!$I$18:$I$47,$C122)</f>
        <v>0</v>
      </c>
      <c r="Z122" s="17">
        <f>COUNTIF('261022'!$C$18:$C$47,$C122)+COUNTIF('261022'!$I$18:$I$47,$C122)</f>
        <v>0</v>
      </c>
      <c r="AA122" s="17">
        <f>COUNTIF('261023'!$C$18:$C$47,$C122)+COUNTIF('261023'!$I$18:$I$47,$C122)</f>
        <v>0</v>
      </c>
      <c r="AB122" s="17">
        <f>COUNTIF('261024'!$C$18:$C$47,$C122)+COUNTIF('261024'!$I$18:$I$47,$C122)</f>
        <v>0</v>
      </c>
      <c r="AC122" s="17">
        <f>COUNTIF('261025'!$C$18:$C$47,$C122)+COUNTIF('261025'!$I$18:$I$47,$C122)</f>
        <v>0</v>
      </c>
      <c r="AD122" s="17">
        <f>COUNTIF('261026'!$C$18:$C$47,$C122)+COUNTIF('261026'!$I$18:$I$47,$C122)</f>
        <v>0</v>
      </c>
      <c r="AE122" s="17">
        <f>COUNTIF('261027'!$C$18:$C$47,$C122)+COUNTIF('261027'!$I$18:$I$47,$C122)</f>
        <v>0</v>
      </c>
      <c r="AF122" s="17">
        <f>COUNTIF('261028'!$C$18:$C$47,$C122)+COUNTIF('261028'!$I$18:$I$47,$C122)</f>
        <v>0</v>
      </c>
      <c r="AG122" s="17">
        <f>COUNTIF('261029'!$C$18:$C$47,$C122)+COUNTIF('261029'!$I$18:$I$47,$C122)</f>
        <v>0</v>
      </c>
      <c r="AH122" s="17">
        <f>COUNTIF('261030'!$C$18:$C$47,$C122)+COUNTIF('261030'!$I$18:$I$47,$C122)</f>
        <v>0</v>
      </c>
      <c r="AI122" s="17">
        <f>COUNTIF('261031'!$C$18:$C$47,$C122)+COUNTIF('261031'!$I$18:$I$47,$C122)</f>
        <v>0</v>
      </c>
      <c r="AJ122" s="108">
        <f t="shared" si="5"/>
        <v>0</v>
      </c>
      <c r="AL122" s="16"/>
      <c r="AM122" s="16"/>
    </row>
    <row r="123" spans="2:39" ht="20.100000000000001" customHeight="1" x14ac:dyDescent="0.3">
      <c r="B123" s="36">
        <f t="shared" si="6"/>
        <v>119</v>
      </c>
      <c r="C123" s="19"/>
      <c r="D123" s="19"/>
      <c r="E123" s="17">
        <f>COUNTIF('261001'!$C$18:$C$47,$C123)+COUNTIF('261001'!$I$18:$I$47,$C123)</f>
        <v>0</v>
      </c>
      <c r="F123" s="17">
        <f>COUNTIF('261002'!$C$18:$C$47,$C123)+COUNTIF('261002'!$I$18:$I$47,$C123)</f>
        <v>0</v>
      </c>
      <c r="G123" s="17">
        <f>COUNTIF('261003'!$C$18:$C$47,$C123)+COUNTIF('261003'!$I$18:$I$47,$C123)</f>
        <v>0</v>
      </c>
      <c r="H123" s="17">
        <f>COUNTIF('261004'!$C$18:$C$47,$C123)+COUNTIF('261004'!$I$18:$I$47,$C123)</f>
        <v>0</v>
      </c>
      <c r="I123" s="17">
        <f>COUNTIF('261005'!$C$18:$C$47,$C123)+COUNTIF('261005'!$I$18:$I$47,$C123)</f>
        <v>0</v>
      </c>
      <c r="J123" s="17">
        <f>COUNTIF('261006'!$C$18:$C$47,$C123)+COUNTIF('261006'!$I$18:$I$47,$C123)</f>
        <v>0</v>
      </c>
      <c r="K123" s="17">
        <f>COUNTIF('261007'!$C$18:$C$47,$C123)+COUNTIF('261007'!$I$18:$I$47,$C123)</f>
        <v>0</v>
      </c>
      <c r="L123" s="17">
        <f>COUNTIF('261008'!$C$18:$C$47,$C123)+COUNTIF('261008'!$I$18:$I$47,$C123)</f>
        <v>0</v>
      </c>
      <c r="M123" s="17">
        <f>COUNTIF('261009'!$C$18:$C$47,$C123)+COUNTIF('261009'!$I$18:$I$47,$C123)</f>
        <v>0</v>
      </c>
      <c r="N123" s="17">
        <f>COUNTIF('261010'!$C$18:$C$47,$C123)+COUNTIF('261010'!$I$18:$I$47,$C123)</f>
        <v>0</v>
      </c>
      <c r="O123" s="17">
        <f>COUNTIF('261011'!$C$18:$C$47,$C123)+COUNTIF('261011'!$I$18:$I$47,$C123)</f>
        <v>0</v>
      </c>
      <c r="P123" s="17">
        <f>COUNTIF('261012'!$C$18:$C$47,$C123)+COUNTIF('261012'!$I$18:$I$47,$C123)</f>
        <v>0</v>
      </c>
      <c r="Q123" s="17">
        <f>COUNTIF('261013'!$C$18:$C$47,$C123)+COUNTIF('261013'!$I$18:$I$47,$C123)</f>
        <v>0</v>
      </c>
      <c r="R123" s="17">
        <f>COUNTIF('261014'!$C$18:$C$47,$C123)+COUNTIF('261014'!$I$18:$I$47,$C123)</f>
        <v>0</v>
      </c>
      <c r="S123" s="17">
        <f>COUNTIF('261015'!$C$18:$C$47,$C123)+COUNTIF('261015'!$I$18:$I$47,$C123)</f>
        <v>0</v>
      </c>
      <c r="T123" s="17">
        <f>COUNTIF('261016'!$C$18:$C$47,$C123)+COUNTIF('261016'!$I$18:$I$47,$C123)</f>
        <v>0</v>
      </c>
      <c r="U123" s="17">
        <f>COUNTIF('261017'!$C$18:$C$47,$C123)+COUNTIF('261017'!$I$18:$I$47,$C123)</f>
        <v>0</v>
      </c>
      <c r="V123" s="17">
        <f>COUNTIF('261018'!$C$18:$C$47,$C123)+COUNTIF('261018'!$I$18:$I$47,$C123)</f>
        <v>0</v>
      </c>
      <c r="W123" s="17">
        <f>COUNTIF('261019'!$C$18:$C$47,$C123)+COUNTIF('261019'!$I$18:$I$47,$C123)</f>
        <v>0</v>
      </c>
      <c r="X123" s="17">
        <f>COUNTIF('261020'!$C$18:$C$47,$C123)+COUNTIF('261020'!$I$18:$I$47,$C123)</f>
        <v>0</v>
      </c>
      <c r="Y123" s="17">
        <f>COUNTIF('261021'!$C$18:$C$47,$C123)+COUNTIF('261021'!$I$18:$I$47,$C123)</f>
        <v>0</v>
      </c>
      <c r="Z123" s="17">
        <f>COUNTIF('261022'!$C$18:$C$47,$C123)+COUNTIF('261022'!$I$18:$I$47,$C123)</f>
        <v>0</v>
      </c>
      <c r="AA123" s="17">
        <f>COUNTIF('261023'!$C$18:$C$47,$C123)+COUNTIF('261023'!$I$18:$I$47,$C123)</f>
        <v>0</v>
      </c>
      <c r="AB123" s="17">
        <f>COUNTIF('261024'!$C$18:$C$47,$C123)+COUNTIF('261024'!$I$18:$I$47,$C123)</f>
        <v>0</v>
      </c>
      <c r="AC123" s="17">
        <f>COUNTIF('261025'!$C$18:$C$47,$C123)+COUNTIF('261025'!$I$18:$I$47,$C123)</f>
        <v>0</v>
      </c>
      <c r="AD123" s="17">
        <f>COUNTIF('261026'!$C$18:$C$47,$C123)+COUNTIF('261026'!$I$18:$I$47,$C123)</f>
        <v>0</v>
      </c>
      <c r="AE123" s="17">
        <f>COUNTIF('261027'!$C$18:$C$47,$C123)+COUNTIF('261027'!$I$18:$I$47,$C123)</f>
        <v>0</v>
      </c>
      <c r="AF123" s="17">
        <f>COUNTIF('261028'!$C$18:$C$47,$C123)+COUNTIF('261028'!$I$18:$I$47,$C123)</f>
        <v>0</v>
      </c>
      <c r="AG123" s="17">
        <f>COUNTIF('261029'!$C$18:$C$47,$C123)+COUNTIF('261029'!$I$18:$I$47,$C123)</f>
        <v>0</v>
      </c>
      <c r="AH123" s="17">
        <f>COUNTIF('261030'!$C$18:$C$47,$C123)+COUNTIF('261030'!$I$18:$I$47,$C123)</f>
        <v>0</v>
      </c>
      <c r="AI123" s="17">
        <f>COUNTIF('261031'!$C$18:$C$47,$C123)+COUNTIF('261031'!$I$18:$I$47,$C123)</f>
        <v>0</v>
      </c>
      <c r="AJ123" s="108">
        <f t="shared" si="5"/>
        <v>0</v>
      </c>
      <c r="AL123" s="16"/>
      <c r="AM123" s="16"/>
    </row>
    <row r="124" spans="2:39" ht="20.100000000000001" customHeight="1" x14ac:dyDescent="0.3">
      <c r="B124" s="36">
        <f t="shared" si="6"/>
        <v>120</v>
      </c>
      <c r="C124" s="19"/>
      <c r="D124" s="19"/>
      <c r="E124" s="17">
        <f>COUNTIF('261001'!$C$18:$C$47,$C124)+COUNTIF('261001'!$I$18:$I$47,$C124)</f>
        <v>0</v>
      </c>
      <c r="F124" s="17">
        <f>COUNTIF('261002'!$C$18:$C$47,$C124)+COUNTIF('261002'!$I$18:$I$47,$C124)</f>
        <v>0</v>
      </c>
      <c r="G124" s="17">
        <f>COUNTIF('261003'!$C$18:$C$47,$C124)+COUNTIF('261003'!$I$18:$I$47,$C124)</f>
        <v>0</v>
      </c>
      <c r="H124" s="17">
        <f>COUNTIF('261004'!$C$18:$C$47,$C124)+COUNTIF('261004'!$I$18:$I$47,$C124)</f>
        <v>0</v>
      </c>
      <c r="I124" s="17">
        <f>COUNTIF('261005'!$C$18:$C$47,$C124)+COUNTIF('261005'!$I$18:$I$47,$C124)</f>
        <v>0</v>
      </c>
      <c r="J124" s="17">
        <f>COUNTIF('261006'!$C$18:$C$47,$C124)+COUNTIF('261006'!$I$18:$I$47,$C124)</f>
        <v>0</v>
      </c>
      <c r="K124" s="17">
        <f>COUNTIF('261007'!$C$18:$C$47,$C124)+COUNTIF('261007'!$I$18:$I$47,$C124)</f>
        <v>0</v>
      </c>
      <c r="L124" s="17">
        <f>COUNTIF('261008'!$C$18:$C$47,$C124)+COUNTIF('261008'!$I$18:$I$47,$C124)</f>
        <v>0</v>
      </c>
      <c r="M124" s="17">
        <f>COUNTIF('261009'!$C$18:$C$47,$C124)+COUNTIF('261009'!$I$18:$I$47,$C124)</f>
        <v>0</v>
      </c>
      <c r="N124" s="17">
        <f>COUNTIF('261010'!$C$18:$C$47,$C124)+COUNTIF('261010'!$I$18:$I$47,$C124)</f>
        <v>0</v>
      </c>
      <c r="O124" s="17">
        <f>COUNTIF('261011'!$C$18:$C$47,$C124)+COUNTIF('261011'!$I$18:$I$47,$C124)</f>
        <v>0</v>
      </c>
      <c r="P124" s="17">
        <f>COUNTIF('261012'!$C$18:$C$47,$C124)+COUNTIF('261012'!$I$18:$I$47,$C124)</f>
        <v>0</v>
      </c>
      <c r="Q124" s="17">
        <f>COUNTIF('261013'!$C$18:$C$47,$C124)+COUNTIF('261013'!$I$18:$I$47,$C124)</f>
        <v>0</v>
      </c>
      <c r="R124" s="17">
        <f>COUNTIF('261014'!$C$18:$C$47,$C124)+COUNTIF('261014'!$I$18:$I$47,$C124)</f>
        <v>0</v>
      </c>
      <c r="S124" s="17">
        <f>COUNTIF('261015'!$C$18:$C$47,$C124)+COUNTIF('261015'!$I$18:$I$47,$C124)</f>
        <v>0</v>
      </c>
      <c r="T124" s="17">
        <f>COUNTIF('261016'!$C$18:$C$47,$C124)+COUNTIF('261016'!$I$18:$I$47,$C124)</f>
        <v>0</v>
      </c>
      <c r="U124" s="17">
        <f>COUNTIF('261017'!$C$18:$C$47,$C124)+COUNTIF('261017'!$I$18:$I$47,$C124)</f>
        <v>0</v>
      </c>
      <c r="V124" s="17">
        <f>COUNTIF('261018'!$C$18:$C$47,$C124)+COUNTIF('261018'!$I$18:$I$47,$C124)</f>
        <v>0</v>
      </c>
      <c r="W124" s="17">
        <f>COUNTIF('261019'!$C$18:$C$47,$C124)+COUNTIF('261019'!$I$18:$I$47,$C124)</f>
        <v>0</v>
      </c>
      <c r="X124" s="17">
        <f>COUNTIF('261020'!$C$18:$C$47,$C124)+COUNTIF('261020'!$I$18:$I$47,$C124)</f>
        <v>0</v>
      </c>
      <c r="Y124" s="17">
        <f>COUNTIF('261021'!$C$18:$C$47,$C124)+COUNTIF('261021'!$I$18:$I$47,$C124)</f>
        <v>0</v>
      </c>
      <c r="Z124" s="17">
        <f>COUNTIF('261022'!$C$18:$C$47,$C124)+COUNTIF('261022'!$I$18:$I$47,$C124)</f>
        <v>0</v>
      </c>
      <c r="AA124" s="17">
        <f>COUNTIF('261023'!$C$18:$C$47,$C124)+COUNTIF('261023'!$I$18:$I$47,$C124)</f>
        <v>0</v>
      </c>
      <c r="AB124" s="17">
        <f>COUNTIF('261024'!$C$18:$C$47,$C124)+COUNTIF('261024'!$I$18:$I$47,$C124)</f>
        <v>0</v>
      </c>
      <c r="AC124" s="17">
        <f>COUNTIF('261025'!$C$18:$C$47,$C124)+COUNTIF('261025'!$I$18:$I$47,$C124)</f>
        <v>0</v>
      </c>
      <c r="AD124" s="17">
        <f>COUNTIF('261026'!$C$18:$C$47,$C124)+COUNTIF('261026'!$I$18:$I$47,$C124)</f>
        <v>0</v>
      </c>
      <c r="AE124" s="17">
        <f>COUNTIF('261027'!$C$18:$C$47,$C124)+COUNTIF('261027'!$I$18:$I$47,$C124)</f>
        <v>0</v>
      </c>
      <c r="AF124" s="17">
        <f>COUNTIF('261028'!$C$18:$C$47,$C124)+COUNTIF('261028'!$I$18:$I$47,$C124)</f>
        <v>0</v>
      </c>
      <c r="AG124" s="17">
        <f>COUNTIF('261029'!$C$18:$C$47,$C124)+COUNTIF('261029'!$I$18:$I$47,$C124)</f>
        <v>0</v>
      </c>
      <c r="AH124" s="17">
        <f>COUNTIF('261030'!$C$18:$C$47,$C124)+COUNTIF('261030'!$I$18:$I$47,$C124)</f>
        <v>0</v>
      </c>
      <c r="AI124" s="17">
        <f>COUNTIF('261031'!$C$18:$C$47,$C124)+COUNTIF('261031'!$I$18:$I$47,$C124)</f>
        <v>0</v>
      </c>
      <c r="AJ124" s="108">
        <f t="shared" si="5"/>
        <v>0</v>
      </c>
      <c r="AL124" s="16"/>
      <c r="AM124" s="16"/>
    </row>
    <row r="125" spans="2:39" ht="20.100000000000001" customHeight="1" x14ac:dyDescent="0.3">
      <c r="B125" s="36">
        <f t="shared" si="6"/>
        <v>121</v>
      </c>
      <c r="C125" s="19"/>
      <c r="D125" s="19"/>
      <c r="E125" s="17">
        <f>COUNTIF('261001'!$C$18:$C$47,$C125)+COUNTIF('261001'!$I$18:$I$47,$C125)</f>
        <v>0</v>
      </c>
      <c r="F125" s="17">
        <f>COUNTIF('261002'!$C$18:$C$47,$C125)+COUNTIF('261002'!$I$18:$I$47,$C125)</f>
        <v>0</v>
      </c>
      <c r="G125" s="17">
        <f>COUNTIF('261003'!$C$18:$C$47,$C125)+COUNTIF('261003'!$I$18:$I$47,$C125)</f>
        <v>0</v>
      </c>
      <c r="H125" s="17">
        <f>COUNTIF('261004'!$C$18:$C$47,$C125)+COUNTIF('261004'!$I$18:$I$47,$C125)</f>
        <v>0</v>
      </c>
      <c r="I125" s="17">
        <f>COUNTIF('261005'!$C$18:$C$47,$C125)+COUNTIF('261005'!$I$18:$I$47,$C125)</f>
        <v>0</v>
      </c>
      <c r="J125" s="17">
        <f>COUNTIF('261006'!$C$18:$C$47,$C125)+COUNTIF('261006'!$I$18:$I$47,$C125)</f>
        <v>0</v>
      </c>
      <c r="K125" s="17">
        <f>COUNTIF('261007'!$C$18:$C$47,$C125)+COUNTIF('261007'!$I$18:$I$47,$C125)</f>
        <v>0</v>
      </c>
      <c r="L125" s="17">
        <f>COUNTIF('261008'!$C$18:$C$47,$C125)+COUNTIF('261008'!$I$18:$I$47,$C125)</f>
        <v>0</v>
      </c>
      <c r="M125" s="17">
        <f>COUNTIF('261009'!$C$18:$C$47,$C125)+COUNTIF('261009'!$I$18:$I$47,$C125)</f>
        <v>0</v>
      </c>
      <c r="N125" s="17">
        <f>COUNTIF('261010'!$C$18:$C$47,$C125)+COUNTIF('261010'!$I$18:$I$47,$C125)</f>
        <v>0</v>
      </c>
      <c r="O125" s="17">
        <f>COUNTIF('261011'!$C$18:$C$47,$C125)+COUNTIF('261011'!$I$18:$I$47,$C125)</f>
        <v>0</v>
      </c>
      <c r="P125" s="17">
        <f>COUNTIF('261012'!$C$18:$C$47,$C125)+COUNTIF('261012'!$I$18:$I$47,$C125)</f>
        <v>0</v>
      </c>
      <c r="Q125" s="17">
        <f>COUNTIF('261013'!$C$18:$C$47,$C125)+COUNTIF('261013'!$I$18:$I$47,$C125)</f>
        <v>0</v>
      </c>
      <c r="R125" s="17">
        <f>COUNTIF('261014'!$C$18:$C$47,$C125)+COUNTIF('261014'!$I$18:$I$47,$C125)</f>
        <v>0</v>
      </c>
      <c r="S125" s="17">
        <f>COUNTIF('261015'!$C$18:$C$47,$C125)+COUNTIF('261015'!$I$18:$I$47,$C125)</f>
        <v>0</v>
      </c>
      <c r="T125" s="17">
        <f>COUNTIF('261016'!$C$18:$C$47,$C125)+COUNTIF('261016'!$I$18:$I$47,$C125)</f>
        <v>0</v>
      </c>
      <c r="U125" s="17">
        <f>COUNTIF('261017'!$C$18:$C$47,$C125)+COUNTIF('261017'!$I$18:$I$47,$C125)</f>
        <v>0</v>
      </c>
      <c r="V125" s="17">
        <f>COUNTIF('261018'!$C$18:$C$47,$C125)+COUNTIF('261018'!$I$18:$I$47,$C125)</f>
        <v>0</v>
      </c>
      <c r="W125" s="17">
        <f>COUNTIF('261019'!$C$18:$C$47,$C125)+COUNTIF('261019'!$I$18:$I$47,$C125)</f>
        <v>0</v>
      </c>
      <c r="X125" s="17">
        <f>COUNTIF('261020'!$C$18:$C$47,$C125)+COUNTIF('261020'!$I$18:$I$47,$C125)</f>
        <v>0</v>
      </c>
      <c r="Y125" s="17">
        <f>COUNTIF('261021'!$C$18:$C$47,$C125)+COUNTIF('261021'!$I$18:$I$47,$C125)</f>
        <v>0</v>
      </c>
      <c r="Z125" s="17">
        <f>COUNTIF('261022'!$C$18:$C$47,$C125)+COUNTIF('261022'!$I$18:$I$47,$C125)</f>
        <v>0</v>
      </c>
      <c r="AA125" s="17">
        <f>COUNTIF('261023'!$C$18:$C$47,$C125)+COUNTIF('261023'!$I$18:$I$47,$C125)</f>
        <v>0</v>
      </c>
      <c r="AB125" s="17">
        <f>COUNTIF('261024'!$C$18:$C$47,$C125)+COUNTIF('261024'!$I$18:$I$47,$C125)</f>
        <v>0</v>
      </c>
      <c r="AC125" s="17">
        <f>COUNTIF('261025'!$C$18:$C$47,$C125)+COUNTIF('261025'!$I$18:$I$47,$C125)</f>
        <v>0</v>
      </c>
      <c r="AD125" s="17">
        <f>COUNTIF('261026'!$C$18:$C$47,$C125)+COUNTIF('261026'!$I$18:$I$47,$C125)</f>
        <v>0</v>
      </c>
      <c r="AE125" s="17">
        <f>COUNTIF('261027'!$C$18:$C$47,$C125)+COUNTIF('261027'!$I$18:$I$47,$C125)</f>
        <v>0</v>
      </c>
      <c r="AF125" s="17">
        <f>COUNTIF('261028'!$C$18:$C$47,$C125)+COUNTIF('261028'!$I$18:$I$47,$C125)</f>
        <v>0</v>
      </c>
      <c r="AG125" s="17">
        <f>COUNTIF('261029'!$C$18:$C$47,$C125)+COUNTIF('261029'!$I$18:$I$47,$C125)</f>
        <v>0</v>
      </c>
      <c r="AH125" s="17">
        <f>COUNTIF('261030'!$C$18:$C$47,$C125)+COUNTIF('261030'!$I$18:$I$47,$C125)</f>
        <v>0</v>
      </c>
      <c r="AI125" s="17">
        <f>COUNTIF('261031'!$C$18:$C$47,$C125)+COUNTIF('261031'!$I$18:$I$47,$C125)</f>
        <v>0</v>
      </c>
      <c r="AJ125" s="108">
        <f t="shared" si="5"/>
        <v>0</v>
      </c>
      <c r="AL125" s="16"/>
      <c r="AM125" s="16"/>
    </row>
    <row r="126" spans="2:39" ht="20.100000000000001" customHeight="1" x14ac:dyDescent="0.3">
      <c r="B126" s="36">
        <f t="shared" si="6"/>
        <v>122</v>
      </c>
      <c r="C126" s="19"/>
      <c r="D126" s="19"/>
      <c r="E126" s="17">
        <f>COUNTIF('261001'!$C$18:$C$47,$C126)+COUNTIF('261001'!$I$18:$I$47,$C126)</f>
        <v>0</v>
      </c>
      <c r="F126" s="17">
        <f>COUNTIF('261002'!$C$18:$C$47,$C126)+COUNTIF('261002'!$I$18:$I$47,$C126)</f>
        <v>0</v>
      </c>
      <c r="G126" s="17">
        <f>COUNTIF('261003'!$C$18:$C$47,$C126)+COUNTIF('261003'!$I$18:$I$47,$C126)</f>
        <v>0</v>
      </c>
      <c r="H126" s="17">
        <f>COUNTIF('261004'!$C$18:$C$47,$C126)+COUNTIF('261004'!$I$18:$I$47,$C126)</f>
        <v>0</v>
      </c>
      <c r="I126" s="17">
        <f>COUNTIF('261005'!$C$18:$C$47,$C126)+COUNTIF('261005'!$I$18:$I$47,$C126)</f>
        <v>0</v>
      </c>
      <c r="J126" s="17">
        <f>COUNTIF('261006'!$C$18:$C$47,$C126)+COUNTIF('261006'!$I$18:$I$47,$C126)</f>
        <v>0</v>
      </c>
      <c r="K126" s="17">
        <f>COUNTIF('261007'!$C$18:$C$47,$C126)+COUNTIF('261007'!$I$18:$I$47,$C126)</f>
        <v>0</v>
      </c>
      <c r="L126" s="17">
        <f>COUNTIF('261008'!$C$18:$C$47,$C126)+COUNTIF('261008'!$I$18:$I$47,$C126)</f>
        <v>0</v>
      </c>
      <c r="M126" s="17">
        <f>COUNTIF('261009'!$C$18:$C$47,$C126)+COUNTIF('261009'!$I$18:$I$47,$C126)</f>
        <v>0</v>
      </c>
      <c r="N126" s="17">
        <f>COUNTIF('261010'!$C$18:$C$47,$C126)+COUNTIF('261010'!$I$18:$I$47,$C126)</f>
        <v>0</v>
      </c>
      <c r="O126" s="17">
        <f>COUNTIF('261011'!$C$18:$C$47,$C126)+COUNTIF('261011'!$I$18:$I$47,$C126)</f>
        <v>0</v>
      </c>
      <c r="P126" s="17">
        <f>COUNTIF('261012'!$C$18:$C$47,$C126)+COUNTIF('261012'!$I$18:$I$47,$C126)</f>
        <v>0</v>
      </c>
      <c r="Q126" s="17">
        <f>COUNTIF('261013'!$C$18:$C$47,$C126)+COUNTIF('261013'!$I$18:$I$47,$C126)</f>
        <v>0</v>
      </c>
      <c r="R126" s="17">
        <f>COUNTIF('261014'!$C$18:$C$47,$C126)+COUNTIF('261014'!$I$18:$I$47,$C126)</f>
        <v>0</v>
      </c>
      <c r="S126" s="17">
        <f>COUNTIF('261015'!$C$18:$C$47,$C126)+COUNTIF('261015'!$I$18:$I$47,$C126)</f>
        <v>0</v>
      </c>
      <c r="T126" s="17">
        <f>COUNTIF('261016'!$C$18:$C$47,$C126)+COUNTIF('261016'!$I$18:$I$47,$C126)</f>
        <v>0</v>
      </c>
      <c r="U126" s="17">
        <f>COUNTIF('261017'!$C$18:$C$47,$C126)+COUNTIF('261017'!$I$18:$I$47,$C126)</f>
        <v>0</v>
      </c>
      <c r="V126" s="17">
        <f>COUNTIF('261018'!$C$18:$C$47,$C126)+COUNTIF('261018'!$I$18:$I$47,$C126)</f>
        <v>0</v>
      </c>
      <c r="W126" s="17">
        <f>COUNTIF('261019'!$C$18:$C$47,$C126)+COUNTIF('261019'!$I$18:$I$47,$C126)</f>
        <v>0</v>
      </c>
      <c r="X126" s="17">
        <f>COUNTIF('261020'!$C$18:$C$47,$C126)+COUNTIF('261020'!$I$18:$I$47,$C126)</f>
        <v>0</v>
      </c>
      <c r="Y126" s="17">
        <f>COUNTIF('261021'!$C$18:$C$47,$C126)+COUNTIF('261021'!$I$18:$I$47,$C126)</f>
        <v>0</v>
      </c>
      <c r="Z126" s="17">
        <f>COUNTIF('261022'!$C$18:$C$47,$C126)+COUNTIF('261022'!$I$18:$I$47,$C126)</f>
        <v>0</v>
      </c>
      <c r="AA126" s="17">
        <f>COUNTIF('261023'!$C$18:$C$47,$C126)+COUNTIF('261023'!$I$18:$I$47,$C126)</f>
        <v>0</v>
      </c>
      <c r="AB126" s="17">
        <f>COUNTIF('261024'!$C$18:$C$47,$C126)+COUNTIF('261024'!$I$18:$I$47,$C126)</f>
        <v>0</v>
      </c>
      <c r="AC126" s="17">
        <f>COUNTIF('261025'!$C$18:$C$47,$C126)+COUNTIF('261025'!$I$18:$I$47,$C126)</f>
        <v>0</v>
      </c>
      <c r="AD126" s="17">
        <f>COUNTIF('261026'!$C$18:$C$47,$C126)+COUNTIF('261026'!$I$18:$I$47,$C126)</f>
        <v>0</v>
      </c>
      <c r="AE126" s="17">
        <f>COUNTIF('261027'!$C$18:$C$47,$C126)+COUNTIF('261027'!$I$18:$I$47,$C126)</f>
        <v>0</v>
      </c>
      <c r="AF126" s="17">
        <f>COUNTIF('261028'!$C$18:$C$47,$C126)+COUNTIF('261028'!$I$18:$I$47,$C126)</f>
        <v>0</v>
      </c>
      <c r="AG126" s="17">
        <f>COUNTIF('261029'!$C$18:$C$47,$C126)+COUNTIF('261029'!$I$18:$I$47,$C126)</f>
        <v>0</v>
      </c>
      <c r="AH126" s="17">
        <f>COUNTIF('261030'!$C$18:$C$47,$C126)+COUNTIF('261030'!$I$18:$I$47,$C126)</f>
        <v>0</v>
      </c>
      <c r="AI126" s="17">
        <f>COUNTIF('261031'!$C$18:$C$47,$C126)+COUNTIF('261031'!$I$18:$I$47,$C126)</f>
        <v>0</v>
      </c>
      <c r="AJ126" s="108">
        <f t="shared" si="5"/>
        <v>0</v>
      </c>
      <c r="AL126" s="16"/>
      <c r="AM126" s="16"/>
    </row>
    <row r="127" spans="2:39" ht="20.100000000000001" customHeight="1" x14ac:dyDescent="0.3">
      <c r="B127" s="36">
        <f t="shared" si="6"/>
        <v>123</v>
      </c>
      <c r="C127" s="19"/>
      <c r="D127" s="19"/>
      <c r="E127" s="17">
        <f>COUNTIF('261001'!$C$18:$C$47,$C127)+COUNTIF('261001'!$I$18:$I$47,$C127)</f>
        <v>0</v>
      </c>
      <c r="F127" s="17">
        <f>COUNTIF('261002'!$C$18:$C$47,$C127)+COUNTIF('261002'!$I$18:$I$47,$C127)</f>
        <v>0</v>
      </c>
      <c r="G127" s="17">
        <f>COUNTIF('261003'!$C$18:$C$47,$C127)+COUNTIF('261003'!$I$18:$I$47,$C127)</f>
        <v>0</v>
      </c>
      <c r="H127" s="17">
        <f>COUNTIF('261004'!$C$18:$C$47,$C127)+COUNTIF('261004'!$I$18:$I$47,$C127)</f>
        <v>0</v>
      </c>
      <c r="I127" s="17">
        <f>COUNTIF('261005'!$C$18:$C$47,$C127)+COUNTIF('261005'!$I$18:$I$47,$C127)</f>
        <v>0</v>
      </c>
      <c r="J127" s="17">
        <f>COUNTIF('261006'!$C$18:$C$47,$C127)+COUNTIF('261006'!$I$18:$I$47,$C127)</f>
        <v>0</v>
      </c>
      <c r="K127" s="17">
        <f>COUNTIF('261007'!$C$18:$C$47,$C127)+COUNTIF('261007'!$I$18:$I$47,$C127)</f>
        <v>0</v>
      </c>
      <c r="L127" s="17">
        <f>COUNTIF('261008'!$C$18:$C$47,$C127)+COUNTIF('261008'!$I$18:$I$47,$C127)</f>
        <v>0</v>
      </c>
      <c r="M127" s="17">
        <f>COUNTIF('261009'!$C$18:$C$47,$C127)+COUNTIF('261009'!$I$18:$I$47,$C127)</f>
        <v>0</v>
      </c>
      <c r="N127" s="17">
        <f>COUNTIF('261010'!$C$18:$C$47,$C127)+COUNTIF('261010'!$I$18:$I$47,$C127)</f>
        <v>0</v>
      </c>
      <c r="O127" s="17">
        <f>COUNTIF('261011'!$C$18:$C$47,$C127)+COUNTIF('261011'!$I$18:$I$47,$C127)</f>
        <v>0</v>
      </c>
      <c r="P127" s="17">
        <f>COUNTIF('261012'!$C$18:$C$47,$C127)+COUNTIF('261012'!$I$18:$I$47,$C127)</f>
        <v>0</v>
      </c>
      <c r="Q127" s="17">
        <f>COUNTIF('261013'!$C$18:$C$47,$C127)+COUNTIF('261013'!$I$18:$I$47,$C127)</f>
        <v>0</v>
      </c>
      <c r="R127" s="17">
        <f>COUNTIF('261014'!$C$18:$C$47,$C127)+COUNTIF('261014'!$I$18:$I$47,$C127)</f>
        <v>0</v>
      </c>
      <c r="S127" s="17">
        <f>COUNTIF('261015'!$C$18:$C$47,$C127)+COUNTIF('261015'!$I$18:$I$47,$C127)</f>
        <v>0</v>
      </c>
      <c r="T127" s="17">
        <f>COUNTIF('261016'!$C$18:$C$47,$C127)+COUNTIF('261016'!$I$18:$I$47,$C127)</f>
        <v>0</v>
      </c>
      <c r="U127" s="17">
        <f>COUNTIF('261017'!$C$18:$C$47,$C127)+COUNTIF('261017'!$I$18:$I$47,$C127)</f>
        <v>0</v>
      </c>
      <c r="V127" s="17">
        <f>COUNTIF('261018'!$C$18:$C$47,$C127)+COUNTIF('261018'!$I$18:$I$47,$C127)</f>
        <v>0</v>
      </c>
      <c r="W127" s="17">
        <f>COUNTIF('261019'!$C$18:$C$47,$C127)+COUNTIF('261019'!$I$18:$I$47,$C127)</f>
        <v>0</v>
      </c>
      <c r="X127" s="17">
        <f>COUNTIF('261020'!$C$18:$C$47,$C127)+COUNTIF('261020'!$I$18:$I$47,$C127)</f>
        <v>0</v>
      </c>
      <c r="Y127" s="17">
        <f>COUNTIF('261021'!$C$18:$C$47,$C127)+COUNTIF('261021'!$I$18:$I$47,$C127)</f>
        <v>0</v>
      </c>
      <c r="Z127" s="17">
        <f>COUNTIF('261022'!$C$18:$C$47,$C127)+COUNTIF('261022'!$I$18:$I$47,$C127)</f>
        <v>0</v>
      </c>
      <c r="AA127" s="17">
        <f>COUNTIF('261023'!$C$18:$C$47,$C127)+COUNTIF('261023'!$I$18:$I$47,$C127)</f>
        <v>0</v>
      </c>
      <c r="AB127" s="17">
        <f>COUNTIF('261024'!$C$18:$C$47,$C127)+COUNTIF('261024'!$I$18:$I$47,$C127)</f>
        <v>0</v>
      </c>
      <c r="AC127" s="17">
        <f>COUNTIF('261025'!$C$18:$C$47,$C127)+COUNTIF('261025'!$I$18:$I$47,$C127)</f>
        <v>0</v>
      </c>
      <c r="AD127" s="17">
        <f>COUNTIF('261026'!$C$18:$C$47,$C127)+COUNTIF('261026'!$I$18:$I$47,$C127)</f>
        <v>0</v>
      </c>
      <c r="AE127" s="17">
        <f>COUNTIF('261027'!$C$18:$C$47,$C127)+COUNTIF('261027'!$I$18:$I$47,$C127)</f>
        <v>0</v>
      </c>
      <c r="AF127" s="17">
        <f>COUNTIF('261028'!$C$18:$C$47,$C127)+COUNTIF('261028'!$I$18:$I$47,$C127)</f>
        <v>0</v>
      </c>
      <c r="AG127" s="17">
        <f>COUNTIF('261029'!$C$18:$C$47,$C127)+COUNTIF('261029'!$I$18:$I$47,$C127)</f>
        <v>0</v>
      </c>
      <c r="AH127" s="17">
        <f>COUNTIF('261030'!$C$18:$C$47,$C127)+COUNTIF('261030'!$I$18:$I$47,$C127)</f>
        <v>0</v>
      </c>
      <c r="AI127" s="17">
        <f>COUNTIF('261031'!$C$18:$C$47,$C127)+COUNTIF('261031'!$I$18:$I$47,$C127)</f>
        <v>0</v>
      </c>
      <c r="AJ127" s="108">
        <f t="shared" si="5"/>
        <v>0</v>
      </c>
      <c r="AL127" s="16"/>
      <c r="AM127" s="16"/>
    </row>
    <row r="128" spans="2:39" ht="20.100000000000001" customHeight="1" x14ac:dyDescent="0.3">
      <c r="B128" s="36">
        <f t="shared" si="6"/>
        <v>124</v>
      </c>
      <c r="C128" s="19"/>
      <c r="D128" s="19"/>
      <c r="E128" s="17">
        <f>COUNTIF('261001'!$C$18:$C$47,$C128)+COUNTIF('261001'!$I$18:$I$47,$C128)</f>
        <v>0</v>
      </c>
      <c r="F128" s="17">
        <f>COUNTIF('261002'!$C$18:$C$47,$C128)+COUNTIF('261002'!$I$18:$I$47,$C128)</f>
        <v>0</v>
      </c>
      <c r="G128" s="17">
        <f>COUNTIF('261003'!$C$18:$C$47,$C128)+COUNTIF('261003'!$I$18:$I$47,$C128)</f>
        <v>0</v>
      </c>
      <c r="H128" s="17">
        <f>COUNTIF('261004'!$C$18:$C$47,$C128)+COUNTIF('261004'!$I$18:$I$47,$C128)</f>
        <v>0</v>
      </c>
      <c r="I128" s="17">
        <f>COUNTIF('261005'!$C$18:$C$47,$C128)+COUNTIF('261005'!$I$18:$I$47,$C128)</f>
        <v>0</v>
      </c>
      <c r="J128" s="17">
        <f>COUNTIF('261006'!$C$18:$C$47,$C128)+COUNTIF('261006'!$I$18:$I$47,$C128)</f>
        <v>0</v>
      </c>
      <c r="K128" s="17">
        <f>COUNTIF('261007'!$C$18:$C$47,$C128)+COUNTIF('261007'!$I$18:$I$47,$C128)</f>
        <v>0</v>
      </c>
      <c r="L128" s="17">
        <f>COUNTIF('261008'!$C$18:$C$47,$C128)+COUNTIF('261008'!$I$18:$I$47,$C128)</f>
        <v>0</v>
      </c>
      <c r="M128" s="17">
        <f>COUNTIF('261009'!$C$18:$C$47,$C128)+COUNTIF('261009'!$I$18:$I$47,$C128)</f>
        <v>0</v>
      </c>
      <c r="N128" s="17">
        <f>COUNTIF('261010'!$C$18:$C$47,$C128)+COUNTIF('261010'!$I$18:$I$47,$C128)</f>
        <v>0</v>
      </c>
      <c r="O128" s="17">
        <f>COUNTIF('261011'!$C$18:$C$47,$C128)+COUNTIF('261011'!$I$18:$I$47,$C128)</f>
        <v>0</v>
      </c>
      <c r="P128" s="17">
        <f>COUNTIF('261012'!$C$18:$C$47,$C128)+COUNTIF('261012'!$I$18:$I$47,$C128)</f>
        <v>0</v>
      </c>
      <c r="Q128" s="17">
        <f>COUNTIF('261013'!$C$18:$C$47,$C128)+COUNTIF('261013'!$I$18:$I$47,$C128)</f>
        <v>0</v>
      </c>
      <c r="R128" s="17">
        <f>COUNTIF('261014'!$C$18:$C$47,$C128)+COUNTIF('261014'!$I$18:$I$47,$C128)</f>
        <v>0</v>
      </c>
      <c r="S128" s="17">
        <f>COUNTIF('261015'!$C$18:$C$47,$C128)+COUNTIF('261015'!$I$18:$I$47,$C128)</f>
        <v>0</v>
      </c>
      <c r="T128" s="17">
        <f>COUNTIF('261016'!$C$18:$C$47,$C128)+COUNTIF('261016'!$I$18:$I$47,$C128)</f>
        <v>0</v>
      </c>
      <c r="U128" s="17">
        <f>COUNTIF('261017'!$C$18:$C$47,$C128)+COUNTIF('261017'!$I$18:$I$47,$C128)</f>
        <v>0</v>
      </c>
      <c r="V128" s="17">
        <f>COUNTIF('261018'!$C$18:$C$47,$C128)+COUNTIF('261018'!$I$18:$I$47,$C128)</f>
        <v>0</v>
      </c>
      <c r="W128" s="17">
        <f>COUNTIF('261019'!$C$18:$C$47,$C128)+COUNTIF('261019'!$I$18:$I$47,$C128)</f>
        <v>0</v>
      </c>
      <c r="X128" s="17">
        <f>COUNTIF('261020'!$C$18:$C$47,$C128)+COUNTIF('261020'!$I$18:$I$47,$C128)</f>
        <v>0</v>
      </c>
      <c r="Y128" s="17">
        <f>COUNTIF('261021'!$C$18:$C$47,$C128)+COUNTIF('261021'!$I$18:$I$47,$C128)</f>
        <v>0</v>
      </c>
      <c r="Z128" s="17">
        <f>COUNTIF('261022'!$C$18:$C$47,$C128)+COUNTIF('261022'!$I$18:$I$47,$C128)</f>
        <v>0</v>
      </c>
      <c r="AA128" s="17">
        <f>COUNTIF('261023'!$C$18:$C$47,$C128)+COUNTIF('261023'!$I$18:$I$47,$C128)</f>
        <v>0</v>
      </c>
      <c r="AB128" s="17">
        <f>COUNTIF('261024'!$C$18:$C$47,$C128)+COUNTIF('261024'!$I$18:$I$47,$C128)</f>
        <v>0</v>
      </c>
      <c r="AC128" s="17">
        <f>COUNTIF('261025'!$C$18:$C$47,$C128)+COUNTIF('261025'!$I$18:$I$47,$C128)</f>
        <v>0</v>
      </c>
      <c r="AD128" s="17">
        <f>COUNTIF('261026'!$C$18:$C$47,$C128)+COUNTIF('261026'!$I$18:$I$47,$C128)</f>
        <v>0</v>
      </c>
      <c r="AE128" s="17">
        <f>COUNTIF('261027'!$C$18:$C$47,$C128)+COUNTIF('261027'!$I$18:$I$47,$C128)</f>
        <v>0</v>
      </c>
      <c r="AF128" s="17">
        <f>COUNTIF('261028'!$C$18:$C$47,$C128)+COUNTIF('261028'!$I$18:$I$47,$C128)</f>
        <v>0</v>
      </c>
      <c r="AG128" s="17">
        <f>COUNTIF('261029'!$C$18:$C$47,$C128)+COUNTIF('261029'!$I$18:$I$47,$C128)</f>
        <v>0</v>
      </c>
      <c r="AH128" s="17">
        <f>COUNTIF('261030'!$C$18:$C$47,$C128)+COUNTIF('261030'!$I$18:$I$47,$C128)</f>
        <v>0</v>
      </c>
      <c r="AI128" s="17">
        <f>COUNTIF('261031'!$C$18:$C$47,$C128)+COUNTIF('261031'!$I$18:$I$47,$C128)</f>
        <v>0</v>
      </c>
      <c r="AJ128" s="108">
        <f t="shared" si="5"/>
        <v>0</v>
      </c>
      <c r="AL128" s="16"/>
      <c r="AM128" s="16"/>
    </row>
    <row r="129" spans="2:39" ht="20.100000000000001" customHeight="1" x14ac:dyDescent="0.3">
      <c r="B129" s="36">
        <f t="shared" si="6"/>
        <v>125</v>
      </c>
      <c r="C129" s="19"/>
      <c r="D129" s="19"/>
      <c r="E129" s="17">
        <f>COUNTIF('261001'!$C$18:$C$47,$C129)+COUNTIF('261001'!$I$18:$I$47,$C129)</f>
        <v>0</v>
      </c>
      <c r="F129" s="17">
        <f>COUNTIF('261002'!$C$18:$C$47,$C129)+COUNTIF('261002'!$I$18:$I$47,$C129)</f>
        <v>0</v>
      </c>
      <c r="G129" s="17">
        <f>COUNTIF('261003'!$C$18:$C$47,$C129)+COUNTIF('261003'!$I$18:$I$47,$C129)</f>
        <v>0</v>
      </c>
      <c r="H129" s="17">
        <f>COUNTIF('261004'!$C$18:$C$47,$C129)+COUNTIF('261004'!$I$18:$I$47,$C129)</f>
        <v>0</v>
      </c>
      <c r="I129" s="17">
        <f>COUNTIF('261005'!$C$18:$C$47,$C129)+COUNTIF('261005'!$I$18:$I$47,$C129)</f>
        <v>0</v>
      </c>
      <c r="J129" s="17">
        <f>COUNTIF('261006'!$C$18:$C$47,$C129)+COUNTIF('261006'!$I$18:$I$47,$C129)</f>
        <v>0</v>
      </c>
      <c r="K129" s="17">
        <f>COUNTIF('261007'!$C$18:$C$47,$C129)+COUNTIF('261007'!$I$18:$I$47,$C129)</f>
        <v>0</v>
      </c>
      <c r="L129" s="17">
        <f>COUNTIF('261008'!$C$18:$C$47,$C129)+COUNTIF('261008'!$I$18:$I$47,$C129)</f>
        <v>0</v>
      </c>
      <c r="M129" s="17">
        <f>COUNTIF('261009'!$C$18:$C$47,$C129)+COUNTIF('261009'!$I$18:$I$47,$C129)</f>
        <v>0</v>
      </c>
      <c r="N129" s="17">
        <f>COUNTIF('261010'!$C$18:$C$47,$C129)+COUNTIF('261010'!$I$18:$I$47,$C129)</f>
        <v>0</v>
      </c>
      <c r="O129" s="17">
        <f>COUNTIF('261011'!$C$18:$C$47,$C129)+COUNTIF('261011'!$I$18:$I$47,$C129)</f>
        <v>0</v>
      </c>
      <c r="P129" s="17">
        <f>COUNTIF('261012'!$C$18:$C$47,$C129)+COUNTIF('261012'!$I$18:$I$47,$C129)</f>
        <v>0</v>
      </c>
      <c r="Q129" s="17">
        <f>COUNTIF('261013'!$C$18:$C$47,$C129)+COUNTIF('261013'!$I$18:$I$47,$C129)</f>
        <v>0</v>
      </c>
      <c r="R129" s="17">
        <f>COUNTIF('261014'!$C$18:$C$47,$C129)+COUNTIF('261014'!$I$18:$I$47,$C129)</f>
        <v>0</v>
      </c>
      <c r="S129" s="17">
        <f>COUNTIF('261015'!$C$18:$C$47,$C129)+COUNTIF('261015'!$I$18:$I$47,$C129)</f>
        <v>0</v>
      </c>
      <c r="T129" s="17">
        <f>COUNTIF('261016'!$C$18:$C$47,$C129)+COUNTIF('261016'!$I$18:$I$47,$C129)</f>
        <v>0</v>
      </c>
      <c r="U129" s="17">
        <f>COUNTIF('261017'!$C$18:$C$47,$C129)+COUNTIF('261017'!$I$18:$I$47,$C129)</f>
        <v>0</v>
      </c>
      <c r="V129" s="17">
        <f>COUNTIF('261018'!$C$18:$C$47,$C129)+COUNTIF('261018'!$I$18:$I$47,$C129)</f>
        <v>0</v>
      </c>
      <c r="W129" s="17">
        <f>COUNTIF('261019'!$C$18:$C$47,$C129)+COUNTIF('261019'!$I$18:$I$47,$C129)</f>
        <v>0</v>
      </c>
      <c r="X129" s="17">
        <f>COUNTIF('261020'!$C$18:$C$47,$C129)+COUNTIF('261020'!$I$18:$I$47,$C129)</f>
        <v>0</v>
      </c>
      <c r="Y129" s="17">
        <f>COUNTIF('261021'!$C$18:$C$47,$C129)+COUNTIF('261021'!$I$18:$I$47,$C129)</f>
        <v>0</v>
      </c>
      <c r="Z129" s="17">
        <f>COUNTIF('261022'!$C$18:$C$47,$C129)+COUNTIF('261022'!$I$18:$I$47,$C129)</f>
        <v>0</v>
      </c>
      <c r="AA129" s="17">
        <f>COUNTIF('261023'!$C$18:$C$47,$C129)+COUNTIF('261023'!$I$18:$I$47,$C129)</f>
        <v>0</v>
      </c>
      <c r="AB129" s="17">
        <f>COUNTIF('261024'!$C$18:$C$47,$C129)+COUNTIF('261024'!$I$18:$I$47,$C129)</f>
        <v>0</v>
      </c>
      <c r="AC129" s="17">
        <f>COUNTIF('261025'!$C$18:$C$47,$C129)+COUNTIF('261025'!$I$18:$I$47,$C129)</f>
        <v>0</v>
      </c>
      <c r="AD129" s="17">
        <f>COUNTIF('261026'!$C$18:$C$47,$C129)+COUNTIF('261026'!$I$18:$I$47,$C129)</f>
        <v>0</v>
      </c>
      <c r="AE129" s="17">
        <f>COUNTIF('261027'!$C$18:$C$47,$C129)+COUNTIF('261027'!$I$18:$I$47,$C129)</f>
        <v>0</v>
      </c>
      <c r="AF129" s="17">
        <f>COUNTIF('261028'!$C$18:$C$47,$C129)+COUNTIF('261028'!$I$18:$I$47,$C129)</f>
        <v>0</v>
      </c>
      <c r="AG129" s="17">
        <f>COUNTIF('261029'!$C$18:$C$47,$C129)+COUNTIF('261029'!$I$18:$I$47,$C129)</f>
        <v>0</v>
      </c>
      <c r="AH129" s="17">
        <f>COUNTIF('261030'!$C$18:$C$47,$C129)+COUNTIF('261030'!$I$18:$I$47,$C129)</f>
        <v>0</v>
      </c>
      <c r="AI129" s="17">
        <f>COUNTIF('261031'!$C$18:$C$47,$C129)+COUNTIF('261031'!$I$18:$I$47,$C129)</f>
        <v>0</v>
      </c>
      <c r="AJ129" s="108">
        <f t="shared" si="5"/>
        <v>0</v>
      </c>
      <c r="AL129" s="16"/>
      <c r="AM129" s="16"/>
    </row>
    <row r="130" spans="2:39" ht="20.100000000000001" customHeight="1" x14ac:dyDescent="0.3">
      <c r="B130" s="36">
        <f t="shared" si="6"/>
        <v>126</v>
      </c>
      <c r="C130" s="19"/>
      <c r="D130" s="19"/>
      <c r="E130" s="17">
        <f>COUNTIF('261001'!$C$18:$C$47,$C130)+COUNTIF('261001'!$I$18:$I$47,$C130)</f>
        <v>0</v>
      </c>
      <c r="F130" s="17">
        <f>COUNTIF('261002'!$C$18:$C$47,$C130)+COUNTIF('261002'!$I$18:$I$47,$C130)</f>
        <v>0</v>
      </c>
      <c r="G130" s="17">
        <f>COUNTIF('261003'!$C$18:$C$47,$C130)+COUNTIF('261003'!$I$18:$I$47,$C130)</f>
        <v>0</v>
      </c>
      <c r="H130" s="17">
        <f>COUNTIF('261004'!$C$18:$C$47,$C130)+COUNTIF('261004'!$I$18:$I$47,$C130)</f>
        <v>0</v>
      </c>
      <c r="I130" s="17">
        <f>COUNTIF('261005'!$C$18:$C$47,$C130)+COUNTIF('261005'!$I$18:$I$47,$C130)</f>
        <v>0</v>
      </c>
      <c r="J130" s="17">
        <f>COUNTIF('261006'!$C$18:$C$47,$C130)+COUNTIF('261006'!$I$18:$I$47,$C130)</f>
        <v>0</v>
      </c>
      <c r="K130" s="17">
        <f>COUNTIF('261007'!$C$18:$C$47,$C130)+COUNTIF('261007'!$I$18:$I$47,$C130)</f>
        <v>0</v>
      </c>
      <c r="L130" s="17">
        <f>COUNTIF('261008'!$C$18:$C$47,$C130)+COUNTIF('261008'!$I$18:$I$47,$C130)</f>
        <v>0</v>
      </c>
      <c r="M130" s="17">
        <f>COUNTIF('261009'!$C$18:$C$47,$C130)+COUNTIF('261009'!$I$18:$I$47,$C130)</f>
        <v>0</v>
      </c>
      <c r="N130" s="17">
        <f>COUNTIF('261010'!$C$18:$C$47,$C130)+COUNTIF('261010'!$I$18:$I$47,$C130)</f>
        <v>0</v>
      </c>
      <c r="O130" s="17">
        <f>COUNTIF('261011'!$C$18:$C$47,$C130)+COUNTIF('261011'!$I$18:$I$47,$C130)</f>
        <v>0</v>
      </c>
      <c r="P130" s="17">
        <f>COUNTIF('261012'!$C$18:$C$47,$C130)+COUNTIF('261012'!$I$18:$I$47,$C130)</f>
        <v>0</v>
      </c>
      <c r="Q130" s="17">
        <f>COUNTIF('261013'!$C$18:$C$47,$C130)+COUNTIF('261013'!$I$18:$I$47,$C130)</f>
        <v>0</v>
      </c>
      <c r="R130" s="17">
        <f>COUNTIF('261014'!$C$18:$C$47,$C130)+COUNTIF('261014'!$I$18:$I$47,$C130)</f>
        <v>0</v>
      </c>
      <c r="S130" s="17">
        <f>COUNTIF('261015'!$C$18:$C$47,$C130)+COUNTIF('261015'!$I$18:$I$47,$C130)</f>
        <v>0</v>
      </c>
      <c r="T130" s="17">
        <f>COUNTIF('261016'!$C$18:$C$47,$C130)+COUNTIF('261016'!$I$18:$I$47,$C130)</f>
        <v>0</v>
      </c>
      <c r="U130" s="17">
        <f>COUNTIF('261017'!$C$18:$C$47,$C130)+COUNTIF('261017'!$I$18:$I$47,$C130)</f>
        <v>0</v>
      </c>
      <c r="V130" s="17">
        <f>COUNTIF('261018'!$C$18:$C$47,$C130)+COUNTIF('261018'!$I$18:$I$47,$C130)</f>
        <v>0</v>
      </c>
      <c r="W130" s="17">
        <f>COUNTIF('261019'!$C$18:$C$47,$C130)+COUNTIF('261019'!$I$18:$I$47,$C130)</f>
        <v>0</v>
      </c>
      <c r="X130" s="17">
        <f>COUNTIF('261020'!$C$18:$C$47,$C130)+COUNTIF('261020'!$I$18:$I$47,$C130)</f>
        <v>0</v>
      </c>
      <c r="Y130" s="17">
        <f>COUNTIF('261021'!$C$18:$C$47,$C130)+COUNTIF('261021'!$I$18:$I$47,$C130)</f>
        <v>0</v>
      </c>
      <c r="Z130" s="17">
        <f>COUNTIF('261022'!$C$18:$C$47,$C130)+COUNTIF('261022'!$I$18:$I$47,$C130)</f>
        <v>0</v>
      </c>
      <c r="AA130" s="17">
        <f>COUNTIF('261023'!$C$18:$C$47,$C130)+COUNTIF('261023'!$I$18:$I$47,$C130)</f>
        <v>0</v>
      </c>
      <c r="AB130" s="17">
        <f>COUNTIF('261024'!$C$18:$C$47,$C130)+COUNTIF('261024'!$I$18:$I$47,$C130)</f>
        <v>0</v>
      </c>
      <c r="AC130" s="17">
        <f>COUNTIF('261025'!$C$18:$C$47,$C130)+COUNTIF('261025'!$I$18:$I$47,$C130)</f>
        <v>0</v>
      </c>
      <c r="AD130" s="17">
        <f>COUNTIF('261026'!$C$18:$C$47,$C130)+COUNTIF('261026'!$I$18:$I$47,$C130)</f>
        <v>0</v>
      </c>
      <c r="AE130" s="17">
        <f>COUNTIF('261027'!$C$18:$C$47,$C130)+COUNTIF('261027'!$I$18:$I$47,$C130)</f>
        <v>0</v>
      </c>
      <c r="AF130" s="17">
        <f>COUNTIF('261028'!$C$18:$C$47,$C130)+COUNTIF('261028'!$I$18:$I$47,$C130)</f>
        <v>0</v>
      </c>
      <c r="AG130" s="17">
        <f>COUNTIF('261029'!$C$18:$C$47,$C130)+COUNTIF('261029'!$I$18:$I$47,$C130)</f>
        <v>0</v>
      </c>
      <c r="AH130" s="17">
        <f>COUNTIF('261030'!$C$18:$C$47,$C130)+COUNTIF('261030'!$I$18:$I$47,$C130)</f>
        <v>0</v>
      </c>
      <c r="AI130" s="17">
        <f>COUNTIF('261031'!$C$18:$C$47,$C130)+COUNTIF('261031'!$I$18:$I$47,$C130)</f>
        <v>0</v>
      </c>
      <c r="AJ130" s="108">
        <f t="shared" si="5"/>
        <v>0</v>
      </c>
      <c r="AL130" s="16"/>
      <c r="AM130" s="16"/>
    </row>
    <row r="131" spans="2:39" ht="20.100000000000001" customHeight="1" x14ac:dyDescent="0.3">
      <c r="B131" s="36">
        <f t="shared" si="6"/>
        <v>127</v>
      </c>
      <c r="C131" s="19"/>
      <c r="D131" s="19"/>
      <c r="E131" s="17">
        <f>COUNTIF('261001'!$C$18:$C$47,$C131)+COUNTIF('261001'!$I$18:$I$47,$C131)</f>
        <v>0</v>
      </c>
      <c r="F131" s="17">
        <f>COUNTIF('261002'!$C$18:$C$47,$C131)+COUNTIF('261002'!$I$18:$I$47,$C131)</f>
        <v>0</v>
      </c>
      <c r="G131" s="17">
        <f>COUNTIF('261003'!$C$18:$C$47,$C131)+COUNTIF('261003'!$I$18:$I$47,$C131)</f>
        <v>0</v>
      </c>
      <c r="H131" s="17">
        <f>COUNTIF('261004'!$C$18:$C$47,$C131)+COUNTIF('261004'!$I$18:$I$47,$C131)</f>
        <v>0</v>
      </c>
      <c r="I131" s="17">
        <f>COUNTIF('261005'!$C$18:$C$47,$C131)+COUNTIF('261005'!$I$18:$I$47,$C131)</f>
        <v>0</v>
      </c>
      <c r="J131" s="17">
        <f>COUNTIF('261006'!$C$18:$C$47,$C131)+COUNTIF('261006'!$I$18:$I$47,$C131)</f>
        <v>0</v>
      </c>
      <c r="K131" s="17">
        <f>COUNTIF('261007'!$C$18:$C$47,$C131)+COUNTIF('261007'!$I$18:$I$47,$C131)</f>
        <v>0</v>
      </c>
      <c r="L131" s="17">
        <f>COUNTIF('261008'!$C$18:$C$47,$C131)+COUNTIF('261008'!$I$18:$I$47,$C131)</f>
        <v>0</v>
      </c>
      <c r="M131" s="17">
        <f>COUNTIF('261009'!$C$18:$C$47,$C131)+COUNTIF('261009'!$I$18:$I$47,$C131)</f>
        <v>0</v>
      </c>
      <c r="N131" s="17">
        <f>COUNTIF('261010'!$C$18:$C$47,$C131)+COUNTIF('261010'!$I$18:$I$47,$C131)</f>
        <v>0</v>
      </c>
      <c r="O131" s="17">
        <f>COUNTIF('261011'!$C$18:$C$47,$C131)+COUNTIF('261011'!$I$18:$I$47,$C131)</f>
        <v>0</v>
      </c>
      <c r="P131" s="17">
        <f>COUNTIF('261012'!$C$18:$C$47,$C131)+COUNTIF('261012'!$I$18:$I$47,$C131)</f>
        <v>0</v>
      </c>
      <c r="Q131" s="17">
        <f>COUNTIF('261013'!$C$18:$C$47,$C131)+COUNTIF('261013'!$I$18:$I$47,$C131)</f>
        <v>0</v>
      </c>
      <c r="R131" s="17">
        <f>COUNTIF('261014'!$C$18:$C$47,$C131)+COUNTIF('261014'!$I$18:$I$47,$C131)</f>
        <v>0</v>
      </c>
      <c r="S131" s="17">
        <f>COUNTIF('261015'!$C$18:$C$47,$C131)+COUNTIF('261015'!$I$18:$I$47,$C131)</f>
        <v>0</v>
      </c>
      <c r="T131" s="17">
        <f>COUNTIF('261016'!$C$18:$C$47,$C131)+COUNTIF('261016'!$I$18:$I$47,$C131)</f>
        <v>0</v>
      </c>
      <c r="U131" s="17">
        <f>COUNTIF('261017'!$C$18:$C$47,$C131)+COUNTIF('261017'!$I$18:$I$47,$C131)</f>
        <v>0</v>
      </c>
      <c r="V131" s="17">
        <f>COUNTIF('261018'!$C$18:$C$47,$C131)+COUNTIF('261018'!$I$18:$I$47,$C131)</f>
        <v>0</v>
      </c>
      <c r="W131" s="17">
        <f>COUNTIF('261019'!$C$18:$C$47,$C131)+COUNTIF('261019'!$I$18:$I$47,$C131)</f>
        <v>0</v>
      </c>
      <c r="X131" s="17">
        <f>COUNTIF('261020'!$C$18:$C$47,$C131)+COUNTIF('261020'!$I$18:$I$47,$C131)</f>
        <v>0</v>
      </c>
      <c r="Y131" s="17">
        <f>COUNTIF('261021'!$C$18:$C$47,$C131)+COUNTIF('261021'!$I$18:$I$47,$C131)</f>
        <v>0</v>
      </c>
      <c r="Z131" s="17">
        <f>COUNTIF('261022'!$C$18:$C$47,$C131)+COUNTIF('261022'!$I$18:$I$47,$C131)</f>
        <v>0</v>
      </c>
      <c r="AA131" s="17">
        <f>COUNTIF('261023'!$C$18:$C$47,$C131)+COUNTIF('261023'!$I$18:$I$47,$C131)</f>
        <v>0</v>
      </c>
      <c r="AB131" s="17">
        <f>COUNTIF('261024'!$C$18:$C$47,$C131)+COUNTIF('261024'!$I$18:$I$47,$C131)</f>
        <v>0</v>
      </c>
      <c r="AC131" s="17">
        <f>COUNTIF('261025'!$C$18:$C$47,$C131)+COUNTIF('261025'!$I$18:$I$47,$C131)</f>
        <v>0</v>
      </c>
      <c r="AD131" s="17">
        <f>COUNTIF('261026'!$C$18:$C$47,$C131)+COUNTIF('261026'!$I$18:$I$47,$C131)</f>
        <v>0</v>
      </c>
      <c r="AE131" s="17">
        <f>COUNTIF('261027'!$C$18:$C$47,$C131)+COUNTIF('261027'!$I$18:$I$47,$C131)</f>
        <v>0</v>
      </c>
      <c r="AF131" s="17">
        <f>COUNTIF('261028'!$C$18:$C$47,$C131)+COUNTIF('261028'!$I$18:$I$47,$C131)</f>
        <v>0</v>
      </c>
      <c r="AG131" s="17">
        <f>COUNTIF('261029'!$C$18:$C$47,$C131)+COUNTIF('261029'!$I$18:$I$47,$C131)</f>
        <v>0</v>
      </c>
      <c r="AH131" s="17">
        <f>COUNTIF('261030'!$C$18:$C$47,$C131)+COUNTIF('261030'!$I$18:$I$47,$C131)</f>
        <v>0</v>
      </c>
      <c r="AI131" s="17">
        <f>COUNTIF('261031'!$C$18:$C$47,$C131)+COUNTIF('261031'!$I$18:$I$47,$C131)</f>
        <v>0</v>
      </c>
      <c r="AJ131" s="108">
        <f t="shared" si="5"/>
        <v>0</v>
      </c>
      <c r="AL131" s="16"/>
      <c r="AM131" s="16"/>
    </row>
    <row r="132" spans="2:39" ht="20.100000000000001" customHeight="1" x14ac:dyDescent="0.3">
      <c r="B132" s="36">
        <f t="shared" si="6"/>
        <v>128</v>
      </c>
      <c r="C132" s="19"/>
      <c r="D132" s="19"/>
      <c r="E132" s="17">
        <f>COUNTIF('261001'!$C$18:$C$47,$C132)+COUNTIF('261001'!$I$18:$I$47,$C132)</f>
        <v>0</v>
      </c>
      <c r="F132" s="17">
        <f>COUNTIF('261002'!$C$18:$C$47,$C132)+COUNTIF('261002'!$I$18:$I$47,$C132)</f>
        <v>0</v>
      </c>
      <c r="G132" s="17">
        <f>COUNTIF('261003'!$C$18:$C$47,$C132)+COUNTIF('261003'!$I$18:$I$47,$C132)</f>
        <v>0</v>
      </c>
      <c r="H132" s="17">
        <f>COUNTIF('261004'!$C$18:$C$47,$C132)+COUNTIF('261004'!$I$18:$I$47,$C132)</f>
        <v>0</v>
      </c>
      <c r="I132" s="17">
        <f>COUNTIF('261005'!$C$18:$C$47,$C132)+COUNTIF('261005'!$I$18:$I$47,$C132)</f>
        <v>0</v>
      </c>
      <c r="J132" s="17">
        <f>COUNTIF('261006'!$C$18:$C$47,$C132)+COUNTIF('261006'!$I$18:$I$47,$C132)</f>
        <v>0</v>
      </c>
      <c r="K132" s="17">
        <f>COUNTIF('261007'!$C$18:$C$47,$C132)+COUNTIF('261007'!$I$18:$I$47,$C132)</f>
        <v>0</v>
      </c>
      <c r="L132" s="17">
        <f>COUNTIF('261008'!$C$18:$C$47,$C132)+COUNTIF('261008'!$I$18:$I$47,$C132)</f>
        <v>0</v>
      </c>
      <c r="M132" s="17">
        <f>COUNTIF('261009'!$C$18:$C$47,$C132)+COUNTIF('261009'!$I$18:$I$47,$C132)</f>
        <v>0</v>
      </c>
      <c r="N132" s="17">
        <f>COUNTIF('261010'!$C$18:$C$47,$C132)+COUNTIF('261010'!$I$18:$I$47,$C132)</f>
        <v>0</v>
      </c>
      <c r="O132" s="17">
        <f>COUNTIF('261011'!$C$18:$C$47,$C132)+COUNTIF('261011'!$I$18:$I$47,$C132)</f>
        <v>0</v>
      </c>
      <c r="P132" s="17">
        <f>COUNTIF('261012'!$C$18:$C$47,$C132)+COUNTIF('261012'!$I$18:$I$47,$C132)</f>
        <v>0</v>
      </c>
      <c r="Q132" s="17">
        <f>COUNTIF('261013'!$C$18:$C$47,$C132)+COUNTIF('261013'!$I$18:$I$47,$C132)</f>
        <v>0</v>
      </c>
      <c r="R132" s="17">
        <f>COUNTIF('261014'!$C$18:$C$47,$C132)+COUNTIF('261014'!$I$18:$I$47,$C132)</f>
        <v>0</v>
      </c>
      <c r="S132" s="17">
        <f>COUNTIF('261015'!$C$18:$C$47,$C132)+COUNTIF('261015'!$I$18:$I$47,$C132)</f>
        <v>0</v>
      </c>
      <c r="T132" s="17">
        <f>COUNTIF('261016'!$C$18:$C$47,$C132)+COUNTIF('261016'!$I$18:$I$47,$C132)</f>
        <v>0</v>
      </c>
      <c r="U132" s="17">
        <f>COUNTIF('261017'!$C$18:$C$47,$C132)+COUNTIF('261017'!$I$18:$I$47,$C132)</f>
        <v>0</v>
      </c>
      <c r="V132" s="17">
        <f>COUNTIF('261018'!$C$18:$C$47,$C132)+COUNTIF('261018'!$I$18:$I$47,$C132)</f>
        <v>0</v>
      </c>
      <c r="W132" s="17">
        <f>COUNTIF('261019'!$C$18:$C$47,$C132)+COUNTIF('261019'!$I$18:$I$47,$C132)</f>
        <v>0</v>
      </c>
      <c r="X132" s="17">
        <f>COUNTIF('261020'!$C$18:$C$47,$C132)+COUNTIF('261020'!$I$18:$I$47,$C132)</f>
        <v>0</v>
      </c>
      <c r="Y132" s="17">
        <f>COUNTIF('261021'!$C$18:$C$47,$C132)+COUNTIF('261021'!$I$18:$I$47,$C132)</f>
        <v>0</v>
      </c>
      <c r="Z132" s="17">
        <f>COUNTIF('261022'!$C$18:$C$47,$C132)+COUNTIF('261022'!$I$18:$I$47,$C132)</f>
        <v>0</v>
      </c>
      <c r="AA132" s="17">
        <f>COUNTIF('261023'!$C$18:$C$47,$C132)+COUNTIF('261023'!$I$18:$I$47,$C132)</f>
        <v>0</v>
      </c>
      <c r="AB132" s="17">
        <f>COUNTIF('261024'!$C$18:$C$47,$C132)+COUNTIF('261024'!$I$18:$I$47,$C132)</f>
        <v>0</v>
      </c>
      <c r="AC132" s="17">
        <f>COUNTIF('261025'!$C$18:$C$47,$C132)+COUNTIF('261025'!$I$18:$I$47,$C132)</f>
        <v>0</v>
      </c>
      <c r="AD132" s="17">
        <f>COUNTIF('261026'!$C$18:$C$47,$C132)+COUNTIF('261026'!$I$18:$I$47,$C132)</f>
        <v>0</v>
      </c>
      <c r="AE132" s="17">
        <f>COUNTIF('261027'!$C$18:$C$47,$C132)+COUNTIF('261027'!$I$18:$I$47,$C132)</f>
        <v>0</v>
      </c>
      <c r="AF132" s="17">
        <f>COUNTIF('261028'!$C$18:$C$47,$C132)+COUNTIF('261028'!$I$18:$I$47,$C132)</f>
        <v>0</v>
      </c>
      <c r="AG132" s="17">
        <f>COUNTIF('261029'!$C$18:$C$47,$C132)+COUNTIF('261029'!$I$18:$I$47,$C132)</f>
        <v>0</v>
      </c>
      <c r="AH132" s="17">
        <f>COUNTIF('261030'!$C$18:$C$47,$C132)+COUNTIF('261030'!$I$18:$I$47,$C132)</f>
        <v>0</v>
      </c>
      <c r="AI132" s="17">
        <f>COUNTIF('261031'!$C$18:$C$47,$C132)+COUNTIF('261031'!$I$18:$I$47,$C132)</f>
        <v>0</v>
      </c>
      <c r="AJ132" s="52">
        <f t="shared" si="5"/>
        <v>0</v>
      </c>
      <c r="AL132" s="16"/>
      <c r="AM132" s="16"/>
    </row>
    <row r="133" spans="2:39" ht="20.100000000000001" customHeight="1" x14ac:dyDescent="0.3">
      <c r="B133" s="36">
        <f t="shared" si="6"/>
        <v>129</v>
      </c>
      <c r="C133" s="19"/>
      <c r="D133" s="19"/>
      <c r="E133" s="17">
        <f>COUNTIF('261001'!$C$18:$C$47,$C133)+COUNTIF('261001'!$I$18:$I$47,$C133)</f>
        <v>0</v>
      </c>
      <c r="F133" s="17">
        <f>COUNTIF('261002'!$C$18:$C$47,$C133)+COUNTIF('261002'!$I$18:$I$47,$C133)</f>
        <v>0</v>
      </c>
      <c r="G133" s="17">
        <f>COUNTIF('261003'!$C$18:$C$47,$C133)+COUNTIF('261003'!$I$18:$I$47,$C133)</f>
        <v>0</v>
      </c>
      <c r="H133" s="17">
        <f>COUNTIF('261004'!$C$18:$C$47,$C133)+COUNTIF('261004'!$I$18:$I$47,$C133)</f>
        <v>0</v>
      </c>
      <c r="I133" s="17">
        <f>COUNTIF('261005'!$C$18:$C$47,$C133)+COUNTIF('261005'!$I$18:$I$47,$C133)</f>
        <v>0</v>
      </c>
      <c r="J133" s="17">
        <f>COUNTIF('261006'!$C$18:$C$47,$C133)+COUNTIF('261006'!$I$18:$I$47,$C133)</f>
        <v>0</v>
      </c>
      <c r="K133" s="17">
        <f>COUNTIF('261007'!$C$18:$C$47,$C133)+COUNTIF('261007'!$I$18:$I$47,$C133)</f>
        <v>0</v>
      </c>
      <c r="L133" s="17">
        <f>COUNTIF('261008'!$C$18:$C$47,$C133)+COUNTIF('261008'!$I$18:$I$47,$C133)</f>
        <v>0</v>
      </c>
      <c r="M133" s="17">
        <f>COUNTIF('261009'!$C$18:$C$47,$C133)+COUNTIF('261009'!$I$18:$I$47,$C133)</f>
        <v>0</v>
      </c>
      <c r="N133" s="17">
        <f>COUNTIF('261010'!$C$18:$C$47,$C133)+COUNTIF('261010'!$I$18:$I$47,$C133)</f>
        <v>0</v>
      </c>
      <c r="O133" s="17">
        <f>COUNTIF('261011'!$C$18:$C$47,$C133)+COUNTIF('261011'!$I$18:$I$47,$C133)</f>
        <v>0</v>
      </c>
      <c r="P133" s="17">
        <f>COUNTIF('261012'!$C$18:$C$47,$C133)+COUNTIF('261012'!$I$18:$I$47,$C133)</f>
        <v>0</v>
      </c>
      <c r="Q133" s="17">
        <f>COUNTIF('261013'!$C$18:$C$47,$C133)+COUNTIF('261013'!$I$18:$I$47,$C133)</f>
        <v>0</v>
      </c>
      <c r="R133" s="17">
        <f>COUNTIF('261014'!$C$18:$C$47,$C133)+COUNTIF('261014'!$I$18:$I$47,$C133)</f>
        <v>0</v>
      </c>
      <c r="S133" s="17">
        <f>COUNTIF('261015'!$C$18:$C$47,$C133)+COUNTIF('261015'!$I$18:$I$47,$C133)</f>
        <v>0</v>
      </c>
      <c r="T133" s="17">
        <f>COUNTIF('261016'!$C$18:$C$47,$C133)+COUNTIF('261016'!$I$18:$I$47,$C133)</f>
        <v>0</v>
      </c>
      <c r="U133" s="17">
        <f>COUNTIF('261017'!$C$18:$C$47,$C133)+COUNTIF('261017'!$I$18:$I$47,$C133)</f>
        <v>0</v>
      </c>
      <c r="V133" s="17">
        <f>COUNTIF('261018'!$C$18:$C$47,$C133)+COUNTIF('261018'!$I$18:$I$47,$C133)</f>
        <v>0</v>
      </c>
      <c r="W133" s="17">
        <f>COUNTIF('261019'!$C$18:$C$47,$C133)+COUNTIF('261019'!$I$18:$I$47,$C133)</f>
        <v>0</v>
      </c>
      <c r="X133" s="17">
        <f>COUNTIF('261020'!$C$18:$C$47,$C133)+COUNTIF('261020'!$I$18:$I$47,$C133)</f>
        <v>0</v>
      </c>
      <c r="Y133" s="17">
        <f>COUNTIF('261021'!$C$18:$C$47,$C133)+COUNTIF('261021'!$I$18:$I$47,$C133)</f>
        <v>0</v>
      </c>
      <c r="Z133" s="17">
        <f>COUNTIF('261022'!$C$18:$C$47,$C133)+COUNTIF('261022'!$I$18:$I$47,$C133)</f>
        <v>0</v>
      </c>
      <c r="AA133" s="17">
        <f>COUNTIF('261023'!$C$18:$C$47,$C133)+COUNTIF('261023'!$I$18:$I$47,$C133)</f>
        <v>0</v>
      </c>
      <c r="AB133" s="17">
        <f>COUNTIF('261024'!$C$18:$C$47,$C133)+COUNTIF('261024'!$I$18:$I$47,$C133)</f>
        <v>0</v>
      </c>
      <c r="AC133" s="17">
        <f>COUNTIF('261025'!$C$18:$C$47,$C133)+COUNTIF('261025'!$I$18:$I$47,$C133)</f>
        <v>0</v>
      </c>
      <c r="AD133" s="17">
        <f>COUNTIF('261026'!$C$18:$C$47,$C133)+COUNTIF('261026'!$I$18:$I$47,$C133)</f>
        <v>0</v>
      </c>
      <c r="AE133" s="17">
        <f>COUNTIF('261027'!$C$18:$C$47,$C133)+COUNTIF('261027'!$I$18:$I$47,$C133)</f>
        <v>0</v>
      </c>
      <c r="AF133" s="17">
        <f>COUNTIF('261028'!$C$18:$C$47,$C133)+COUNTIF('261028'!$I$18:$I$47,$C133)</f>
        <v>0</v>
      </c>
      <c r="AG133" s="17">
        <f>COUNTIF('261029'!$C$18:$C$47,$C133)+COUNTIF('261029'!$I$18:$I$47,$C133)</f>
        <v>0</v>
      </c>
      <c r="AH133" s="17">
        <f>COUNTIF('261030'!$C$18:$C$47,$C133)+COUNTIF('261030'!$I$18:$I$47,$C133)</f>
        <v>0</v>
      </c>
      <c r="AI133" s="17">
        <f>COUNTIF('261031'!$C$18:$C$47,$C133)+COUNTIF('261031'!$I$18:$I$47,$C133)</f>
        <v>0</v>
      </c>
      <c r="AJ133" s="52">
        <f t="shared" si="5"/>
        <v>0</v>
      </c>
      <c r="AL133" s="16"/>
      <c r="AM133" s="16"/>
    </row>
    <row r="134" spans="2:39" ht="20.100000000000001" customHeight="1" x14ac:dyDescent="0.3">
      <c r="B134" s="36">
        <f t="shared" si="6"/>
        <v>130</v>
      </c>
      <c r="C134" s="19"/>
      <c r="D134" s="19"/>
      <c r="E134" s="17">
        <f>COUNTIF('261001'!$C$18:$C$47,$C134)+COUNTIF('261001'!$I$18:$I$47,$C134)</f>
        <v>0</v>
      </c>
      <c r="F134" s="17">
        <f>COUNTIF('261002'!$C$18:$C$47,$C134)+COUNTIF('261002'!$I$18:$I$47,$C134)</f>
        <v>0</v>
      </c>
      <c r="G134" s="17">
        <f>COUNTIF('261003'!$C$18:$C$47,$C134)+COUNTIF('261003'!$I$18:$I$47,$C134)</f>
        <v>0</v>
      </c>
      <c r="H134" s="17">
        <f>COUNTIF('261004'!$C$18:$C$47,$C134)+COUNTIF('261004'!$I$18:$I$47,$C134)</f>
        <v>0</v>
      </c>
      <c r="I134" s="17">
        <f>COUNTIF('261005'!$C$18:$C$47,$C134)+COUNTIF('261005'!$I$18:$I$47,$C134)</f>
        <v>0</v>
      </c>
      <c r="J134" s="17">
        <f>COUNTIF('261006'!$C$18:$C$47,$C134)+COUNTIF('261006'!$I$18:$I$47,$C134)</f>
        <v>0</v>
      </c>
      <c r="K134" s="17">
        <f>COUNTIF('261007'!$C$18:$C$47,$C134)+COUNTIF('261007'!$I$18:$I$47,$C134)</f>
        <v>0</v>
      </c>
      <c r="L134" s="17">
        <f>COUNTIF('261008'!$C$18:$C$47,$C134)+COUNTIF('261008'!$I$18:$I$47,$C134)</f>
        <v>0</v>
      </c>
      <c r="M134" s="17">
        <f>COUNTIF('261009'!$C$18:$C$47,$C134)+COUNTIF('261009'!$I$18:$I$47,$C134)</f>
        <v>0</v>
      </c>
      <c r="N134" s="17">
        <f>COUNTIF('261010'!$C$18:$C$47,$C134)+COUNTIF('261010'!$I$18:$I$47,$C134)</f>
        <v>0</v>
      </c>
      <c r="O134" s="17">
        <f>COUNTIF('261011'!$C$18:$C$47,$C134)+COUNTIF('261011'!$I$18:$I$47,$C134)</f>
        <v>0</v>
      </c>
      <c r="P134" s="17">
        <f>COUNTIF('261012'!$C$18:$C$47,$C134)+COUNTIF('261012'!$I$18:$I$47,$C134)</f>
        <v>0</v>
      </c>
      <c r="Q134" s="17">
        <f>COUNTIF('261013'!$C$18:$C$47,$C134)+COUNTIF('261013'!$I$18:$I$47,$C134)</f>
        <v>0</v>
      </c>
      <c r="R134" s="17">
        <f>COUNTIF('261014'!$C$18:$C$47,$C134)+COUNTIF('261014'!$I$18:$I$47,$C134)</f>
        <v>0</v>
      </c>
      <c r="S134" s="17">
        <f>COUNTIF('261015'!$C$18:$C$47,$C134)+COUNTIF('261015'!$I$18:$I$47,$C134)</f>
        <v>0</v>
      </c>
      <c r="T134" s="17">
        <f>COUNTIF('261016'!$C$18:$C$47,$C134)+COUNTIF('261016'!$I$18:$I$47,$C134)</f>
        <v>0</v>
      </c>
      <c r="U134" s="17">
        <f>COUNTIF('261017'!$C$18:$C$47,$C134)+COUNTIF('261017'!$I$18:$I$47,$C134)</f>
        <v>0</v>
      </c>
      <c r="V134" s="17">
        <f>COUNTIF('261018'!$C$18:$C$47,$C134)+COUNTIF('261018'!$I$18:$I$47,$C134)</f>
        <v>0</v>
      </c>
      <c r="W134" s="17">
        <f>COUNTIF('261019'!$C$18:$C$47,$C134)+COUNTIF('261019'!$I$18:$I$47,$C134)</f>
        <v>0</v>
      </c>
      <c r="X134" s="17">
        <f>COUNTIF('261020'!$C$18:$C$47,$C134)+COUNTIF('261020'!$I$18:$I$47,$C134)</f>
        <v>0</v>
      </c>
      <c r="Y134" s="17">
        <f>COUNTIF('261021'!$C$18:$C$47,$C134)+COUNTIF('261021'!$I$18:$I$47,$C134)</f>
        <v>0</v>
      </c>
      <c r="Z134" s="17">
        <f>COUNTIF('261022'!$C$18:$C$47,$C134)+COUNTIF('261022'!$I$18:$I$47,$C134)</f>
        <v>0</v>
      </c>
      <c r="AA134" s="17">
        <f>COUNTIF('261023'!$C$18:$C$47,$C134)+COUNTIF('261023'!$I$18:$I$47,$C134)</f>
        <v>0</v>
      </c>
      <c r="AB134" s="17">
        <f>COUNTIF('261024'!$C$18:$C$47,$C134)+COUNTIF('261024'!$I$18:$I$47,$C134)</f>
        <v>0</v>
      </c>
      <c r="AC134" s="17">
        <f>COUNTIF('261025'!$C$18:$C$47,$C134)+COUNTIF('261025'!$I$18:$I$47,$C134)</f>
        <v>0</v>
      </c>
      <c r="AD134" s="17">
        <f>COUNTIF('261026'!$C$18:$C$47,$C134)+COUNTIF('261026'!$I$18:$I$47,$C134)</f>
        <v>0</v>
      </c>
      <c r="AE134" s="17">
        <f>COUNTIF('261027'!$C$18:$C$47,$C134)+COUNTIF('261027'!$I$18:$I$47,$C134)</f>
        <v>0</v>
      </c>
      <c r="AF134" s="17">
        <f>COUNTIF('261028'!$C$18:$C$47,$C134)+COUNTIF('261028'!$I$18:$I$47,$C134)</f>
        <v>0</v>
      </c>
      <c r="AG134" s="17">
        <f>COUNTIF('261029'!$C$18:$C$47,$C134)+COUNTIF('261029'!$I$18:$I$47,$C134)</f>
        <v>0</v>
      </c>
      <c r="AH134" s="17">
        <f>COUNTIF('261030'!$C$18:$C$47,$C134)+COUNTIF('261030'!$I$18:$I$47,$C134)</f>
        <v>0</v>
      </c>
      <c r="AI134" s="17">
        <f>COUNTIF('261031'!$C$18:$C$47,$C134)+COUNTIF('261031'!$I$18:$I$47,$C134)</f>
        <v>0</v>
      </c>
      <c r="AJ134" s="52">
        <f t="shared" si="5"/>
        <v>0</v>
      </c>
      <c r="AL134" s="16"/>
      <c r="AM134" s="16"/>
    </row>
    <row r="135" spans="2:39" ht="20.100000000000001" customHeight="1" x14ac:dyDescent="0.3">
      <c r="B135" s="36">
        <f t="shared" si="6"/>
        <v>131</v>
      </c>
      <c r="C135" s="19"/>
      <c r="D135" s="19"/>
      <c r="E135" s="17">
        <f>COUNTIF('261001'!$C$18:$C$47,$C135)+COUNTIF('261001'!$I$18:$I$47,$C135)</f>
        <v>0</v>
      </c>
      <c r="F135" s="17">
        <f>COUNTIF('261002'!$C$18:$C$47,$C135)+COUNTIF('261002'!$I$18:$I$47,$C135)</f>
        <v>0</v>
      </c>
      <c r="G135" s="17">
        <f>COUNTIF('261003'!$C$18:$C$47,$C135)+COUNTIF('261003'!$I$18:$I$47,$C135)</f>
        <v>0</v>
      </c>
      <c r="H135" s="17">
        <f>COUNTIF('261004'!$C$18:$C$47,$C135)+COUNTIF('261004'!$I$18:$I$47,$C135)</f>
        <v>0</v>
      </c>
      <c r="I135" s="17">
        <f>COUNTIF('261005'!$C$18:$C$47,$C135)+COUNTIF('261005'!$I$18:$I$47,$C135)</f>
        <v>0</v>
      </c>
      <c r="J135" s="17">
        <f>COUNTIF('261006'!$C$18:$C$47,$C135)+COUNTIF('261006'!$I$18:$I$47,$C135)</f>
        <v>0</v>
      </c>
      <c r="K135" s="17">
        <f>COUNTIF('261007'!$C$18:$C$47,$C135)+COUNTIF('261007'!$I$18:$I$47,$C135)</f>
        <v>0</v>
      </c>
      <c r="L135" s="17">
        <f>COUNTIF('261008'!$C$18:$C$47,$C135)+COUNTIF('261008'!$I$18:$I$47,$C135)</f>
        <v>0</v>
      </c>
      <c r="M135" s="17">
        <f>COUNTIF('261009'!$C$18:$C$47,$C135)+COUNTIF('261009'!$I$18:$I$47,$C135)</f>
        <v>0</v>
      </c>
      <c r="N135" s="17">
        <f>COUNTIF('261010'!$C$18:$C$47,$C135)+COUNTIF('261010'!$I$18:$I$47,$C135)</f>
        <v>0</v>
      </c>
      <c r="O135" s="17">
        <f>COUNTIF('261011'!$C$18:$C$47,$C135)+COUNTIF('261011'!$I$18:$I$47,$C135)</f>
        <v>0</v>
      </c>
      <c r="P135" s="17">
        <f>COUNTIF('261012'!$C$18:$C$47,$C135)+COUNTIF('261012'!$I$18:$I$47,$C135)</f>
        <v>0</v>
      </c>
      <c r="Q135" s="17">
        <f>COUNTIF('261013'!$C$18:$C$47,$C135)+COUNTIF('261013'!$I$18:$I$47,$C135)</f>
        <v>0</v>
      </c>
      <c r="R135" s="17">
        <f>COUNTIF('261014'!$C$18:$C$47,$C135)+COUNTIF('261014'!$I$18:$I$47,$C135)</f>
        <v>0</v>
      </c>
      <c r="S135" s="17">
        <f>COUNTIF('261015'!$C$18:$C$47,$C135)+COUNTIF('261015'!$I$18:$I$47,$C135)</f>
        <v>0</v>
      </c>
      <c r="T135" s="17">
        <f>COUNTIF('261016'!$C$18:$C$47,$C135)+COUNTIF('261016'!$I$18:$I$47,$C135)</f>
        <v>0</v>
      </c>
      <c r="U135" s="17">
        <f>COUNTIF('261017'!$C$18:$C$47,$C135)+COUNTIF('261017'!$I$18:$I$47,$C135)</f>
        <v>0</v>
      </c>
      <c r="V135" s="17">
        <f>COUNTIF('261018'!$C$18:$C$47,$C135)+COUNTIF('261018'!$I$18:$I$47,$C135)</f>
        <v>0</v>
      </c>
      <c r="W135" s="17">
        <f>COUNTIF('261019'!$C$18:$C$47,$C135)+COUNTIF('261019'!$I$18:$I$47,$C135)</f>
        <v>0</v>
      </c>
      <c r="X135" s="17">
        <f>COUNTIF('261020'!$C$18:$C$47,$C135)+COUNTIF('261020'!$I$18:$I$47,$C135)</f>
        <v>0</v>
      </c>
      <c r="Y135" s="17">
        <f>COUNTIF('261021'!$C$18:$C$47,$C135)+COUNTIF('261021'!$I$18:$I$47,$C135)</f>
        <v>0</v>
      </c>
      <c r="Z135" s="17">
        <f>COUNTIF('261022'!$C$18:$C$47,$C135)+COUNTIF('261022'!$I$18:$I$47,$C135)</f>
        <v>0</v>
      </c>
      <c r="AA135" s="17">
        <f>COUNTIF('261023'!$C$18:$C$47,$C135)+COUNTIF('261023'!$I$18:$I$47,$C135)</f>
        <v>0</v>
      </c>
      <c r="AB135" s="17">
        <f>COUNTIF('261024'!$C$18:$C$47,$C135)+COUNTIF('261024'!$I$18:$I$47,$C135)</f>
        <v>0</v>
      </c>
      <c r="AC135" s="17">
        <f>COUNTIF('261025'!$C$18:$C$47,$C135)+COUNTIF('261025'!$I$18:$I$47,$C135)</f>
        <v>0</v>
      </c>
      <c r="AD135" s="17">
        <f>COUNTIF('261026'!$C$18:$C$47,$C135)+COUNTIF('261026'!$I$18:$I$47,$C135)</f>
        <v>0</v>
      </c>
      <c r="AE135" s="17">
        <f>COUNTIF('261027'!$C$18:$C$47,$C135)+COUNTIF('261027'!$I$18:$I$47,$C135)</f>
        <v>0</v>
      </c>
      <c r="AF135" s="17">
        <f>COUNTIF('261028'!$C$18:$C$47,$C135)+COUNTIF('261028'!$I$18:$I$47,$C135)</f>
        <v>0</v>
      </c>
      <c r="AG135" s="17">
        <f>COUNTIF('261029'!$C$18:$C$47,$C135)+COUNTIF('261029'!$I$18:$I$47,$C135)</f>
        <v>0</v>
      </c>
      <c r="AH135" s="17">
        <f>COUNTIF('261030'!$C$18:$C$47,$C135)+COUNTIF('261030'!$I$18:$I$47,$C135)</f>
        <v>0</v>
      </c>
      <c r="AI135" s="17">
        <f>COUNTIF('261031'!$C$18:$C$47,$C135)+COUNTIF('261031'!$I$18:$I$47,$C135)</f>
        <v>0</v>
      </c>
      <c r="AJ135" s="52">
        <f t="shared" si="5"/>
        <v>0</v>
      </c>
      <c r="AL135" s="16"/>
      <c r="AM135" s="16"/>
    </row>
    <row r="136" spans="2:39" ht="20.100000000000001" customHeight="1" x14ac:dyDescent="0.3">
      <c r="B136" s="36">
        <f t="shared" si="6"/>
        <v>132</v>
      </c>
      <c r="C136" s="19"/>
      <c r="D136" s="19"/>
      <c r="E136" s="17">
        <f>COUNTIF('261001'!$C$18:$C$47,$C136)+COUNTIF('261001'!$I$18:$I$47,$C136)</f>
        <v>0</v>
      </c>
      <c r="F136" s="17">
        <f>COUNTIF('261002'!$C$18:$C$47,$C136)+COUNTIF('261002'!$I$18:$I$47,$C136)</f>
        <v>0</v>
      </c>
      <c r="G136" s="17">
        <f>COUNTIF('261003'!$C$18:$C$47,$C136)+COUNTIF('261003'!$I$18:$I$47,$C136)</f>
        <v>0</v>
      </c>
      <c r="H136" s="17">
        <f>COUNTIF('261004'!$C$18:$C$47,$C136)+COUNTIF('261004'!$I$18:$I$47,$C136)</f>
        <v>0</v>
      </c>
      <c r="I136" s="17">
        <f>COUNTIF('261005'!$C$18:$C$47,$C136)+COUNTIF('261005'!$I$18:$I$47,$C136)</f>
        <v>0</v>
      </c>
      <c r="J136" s="17">
        <f>COUNTIF('261006'!$C$18:$C$47,$C136)+COUNTIF('261006'!$I$18:$I$47,$C136)</f>
        <v>0</v>
      </c>
      <c r="K136" s="17">
        <f>COUNTIF('261007'!$C$18:$C$47,$C136)+COUNTIF('261007'!$I$18:$I$47,$C136)</f>
        <v>0</v>
      </c>
      <c r="L136" s="17">
        <f>COUNTIF('261008'!$C$18:$C$47,$C136)+COUNTIF('261008'!$I$18:$I$47,$C136)</f>
        <v>0</v>
      </c>
      <c r="M136" s="17">
        <f>COUNTIF('261009'!$C$18:$C$47,$C136)+COUNTIF('261009'!$I$18:$I$47,$C136)</f>
        <v>0</v>
      </c>
      <c r="N136" s="17">
        <f>COUNTIF('261010'!$C$18:$C$47,$C136)+COUNTIF('261010'!$I$18:$I$47,$C136)</f>
        <v>0</v>
      </c>
      <c r="O136" s="17">
        <f>COUNTIF('261011'!$C$18:$C$47,$C136)+COUNTIF('261011'!$I$18:$I$47,$C136)</f>
        <v>0</v>
      </c>
      <c r="P136" s="17">
        <f>COUNTIF('261012'!$C$18:$C$47,$C136)+COUNTIF('261012'!$I$18:$I$47,$C136)</f>
        <v>0</v>
      </c>
      <c r="Q136" s="17">
        <f>COUNTIF('261013'!$C$18:$C$47,$C136)+COUNTIF('261013'!$I$18:$I$47,$C136)</f>
        <v>0</v>
      </c>
      <c r="R136" s="17">
        <f>COUNTIF('261014'!$C$18:$C$47,$C136)+COUNTIF('261014'!$I$18:$I$47,$C136)</f>
        <v>0</v>
      </c>
      <c r="S136" s="17">
        <f>COUNTIF('261015'!$C$18:$C$47,$C136)+COUNTIF('261015'!$I$18:$I$47,$C136)</f>
        <v>0</v>
      </c>
      <c r="T136" s="17">
        <f>COUNTIF('261016'!$C$18:$C$47,$C136)+COUNTIF('261016'!$I$18:$I$47,$C136)</f>
        <v>0</v>
      </c>
      <c r="U136" s="17">
        <f>COUNTIF('261017'!$C$18:$C$47,$C136)+COUNTIF('261017'!$I$18:$I$47,$C136)</f>
        <v>0</v>
      </c>
      <c r="V136" s="17">
        <f>COUNTIF('261018'!$C$18:$C$47,$C136)+COUNTIF('261018'!$I$18:$I$47,$C136)</f>
        <v>0</v>
      </c>
      <c r="W136" s="17">
        <f>COUNTIF('261019'!$C$18:$C$47,$C136)+COUNTIF('261019'!$I$18:$I$47,$C136)</f>
        <v>0</v>
      </c>
      <c r="X136" s="17">
        <f>COUNTIF('261020'!$C$18:$C$47,$C136)+COUNTIF('261020'!$I$18:$I$47,$C136)</f>
        <v>0</v>
      </c>
      <c r="Y136" s="17">
        <f>COUNTIF('261021'!$C$18:$C$47,$C136)+COUNTIF('261021'!$I$18:$I$47,$C136)</f>
        <v>0</v>
      </c>
      <c r="Z136" s="17">
        <f>COUNTIF('261022'!$C$18:$C$47,$C136)+COUNTIF('261022'!$I$18:$I$47,$C136)</f>
        <v>0</v>
      </c>
      <c r="AA136" s="17">
        <f>COUNTIF('261023'!$C$18:$C$47,$C136)+COUNTIF('261023'!$I$18:$I$47,$C136)</f>
        <v>0</v>
      </c>
      <c r="AB136" s="17">
        <f>COUNTIF('261024'!$C$18:$C$47,$C136)+COUNTIF('261024'!$I$18:$I$47,$C136)</f>
        <v>0</v>
      </c>
      <c r="AC136" s="17">
        <f>COUNTIF('261025'!$C$18:$C$47,$C136)+COUNTIF('261025'!$I$18:$I$47,$C136)</f>
        <v>0</v>
      </c>
      <c r="AD136" s="17">
        <f>COUNTIF('261026'!$C$18:$C$47,$C136)+COUNTIF('261026'!$I$18:$I$47,$C136)</f>
        <v>0</v>
      </c>
      <c r="AE136" s="17">
        <f>COUNTIF('261027'!$C$18:$C$47,$C136)+COUNTIF('261027'!$I$18:$I$47,$C136)</f>
        <v>0</v>
      </c>
      <c r="AF136" s="17">
        <f>COUNTIF('261028'!$C$18:$C$47,$C136)+COUNTIF('261028'!$I$18:$I$47,$C136)</f>
        <v>0</v>
      </c>
      <c r="AG136" s="17">
        <f>COUNTIF('261029'!$C$18:$C$47,$C136)+COUNTIF('261029'!$I$18:$I$47,$C136)</f>
        <v>0</v>
      </c>
      <c r="AH136" s="17">
        <f>COUNTIF('261030'!$C$18:$C$47,$C136)+COUNTIF('261030'!$I$18:$I$47,$C136)</f>
        <v>0</v>
      </c>
      <c r="AI136" s="17">
        <f>COUNTIF('261031'!$C$18:$C$47,$C136)+COUNTIF('261031'!$I$18:$I$47,$C136)</f>
        <v>0</v>
      </c>
      <c r="AJ136" s="52">
        <f t="shared" si="5"/>
        <v>0</v>
      </c>
      <c r="AL136" s="16"/>
      <c r="AM136" s="16"/>
    </row>
    <row r="137" spans="2:39" ht="20.100000000000001" customHeight="1" x14ac:dyDescent="0.3">
      <c r="B137" s="36">
        <f t="shared" si="6"/>
        <v>133</v>
      </c>
      <c r="C137" s="19"/>
      <c r="D137" s="19"/>
      <c r="E137" s="17">
        <f>COUNTIF('261001'!$C$18:$C$47,$C137)+COUNTIF('261001'!$I$18:$I$47,$C137)</f>
        <v>0</v>
      </c>
      <c r="F137" s="17">
        <f>COUNTIF('261002'!$C$18:$C$47,$C137)+COUNTIF('261002'!$I$18:$I$47,$C137)</f>
        <v>0</v>
      </c>
      <c r="G137" s="17">
        <f>COUNTIF('261003'!$C$18:$C$47,$C137)+COUNTIF('261003'!$I$18:$I$47,$C137)</f>
        <v>0</v>
      </c>
      <c r="H137" s="17">
        <f>COUNTIF('261004'!$C$18:$C$47,$C137)+COUNTIF('261004'!$I$18:$I$47,$C137)</f>
        <v>0</v>
      </c>
      <c r="I137" s="17">
        <f>COUNTIF('261005'!$C$18:$C$47,$C137)+COUNTIF('261005'!$I$18:$I$47,$C137)</f>
        <v>0</v>
      </c>
      <c r="J137" s="17">
        <f>COUNTIF('261006'!$C$18:$C$47,$C137)+COUNTIF('261006'!$I$18:$I$47,$C137)</f>
        <v>0</v>
      </c>
      <c r="K137" s="17">
        <f>COUNTIF('261007'!$C$18:$C$47,$C137)+COUNTIF('261007'!$I$18:$I$47,$C137)</f>
        <v>0</v>
      </c>
      <c r="L137" s="17">
        <f>COUNTIF('261008'!$C$18:$C$47,$C137)+COUNTIF('261008'!$I$18:$I$47,$C137)</f>
        <v>0</v>
      </c>
      <c r="M137" s="17">
        <f>COUNTIF('261009'!$C$18:$C$47,$C137)+COUNTIF('261009'!$I$18:$I$47,$C137)</f>
        <v>0</v>
      </c>
      <c r="N137" s="17">
        <f>COUNTIF('261010'!$C$18:$C$47,$C137)+COUNTIF('261010'!$I$18:$I$47,$C137)</f>
        <v>0</v>
      </c>
      <c r="O137" s="17">
        <f>COUNTIF('261011'!$C$18:$C$47,$C137)+COUNTIF('261011'!$I$18:$I$47,$C137)</f>
        <v>0</v>
      </c>
      <c r="P137" s="17">
        <f>COUNTIF('261012'!$C$18:$C$47,$C137)+COUNTIF('261012'!$I$18:$I$47,$C137)</f>
        <v>0</v>
      </c>
      <c r="Q137" s="17">
        <f>COUNTIF('261013'!$C$18:$C$47,$C137)+COUNTIF('261013'!$I$18:$I$47,$C137)</f>
        <v>0</v>
      </c>
      <c r="R137" s="17">
        <f>COUNTIF('261014'!$C$18:$C$47,$C137)+COUNTIF('261014'!$I$18:$I$47,$C137)</f>
        <v>0</v>
      </c>
      <c r="S137" s="17">
        <f>COUNTIF('261015'!$C$18:$C$47,$C137)+COUNTIF('261015'!$I$18:$I$47,$C137)</f>
        <v>0</v>
      </c>
      <c r="T137" s="17">
        <f>COUNTIF('261016'!$C$18:$C$47,$C137)+COUNTIF('261016'!$I$18:$I$47,$C137)</f>
        <v>0</v>
      </c>
      <c r="U137" s="17">
        <f>COUNTIF('261017'!$C$18:$C$47,$C137)+COUNTIF('261017'!$I$18:$I$47,$C137)</f>
        <v>0</v>
      </c>
      <c r="V137" s="17">
        <f>COUNTIF('261018'!$C$18:$C$47,$C137)+COUNTIF('261018'!$I$18:$I$47,$C137)</f>
        <v>0</v>
      </c>
      <c r="W137" s="17">
        <f>COUNTIF('261019'!$C$18:$C$47,$C137)+COUNTIF('261019'!$I$18:$I$47,$C137)</f>
        <v>0</v>
      </c>
      <c r="X137" s="17">
        <f>COUNTIF('261020'!$C$18:$C$47,$C137)+COUNTIF('261020'!$I$18:$I$47,$C137)</f>
        <v>0</v>
      </c>
      <c r="Y137" s="17">
        <f>COUNTIF('261021'!$C$18:$C$47,$C137)+COUNTIF('261021'!$I$18:$I$47,$C137)</f>
        <v>0</v>
      </c>
      <c r="Z137" s="17">
        <f>COUNTIF('261022'!$C$18:$C$47,$C137)+COUNTIF('261022'!$I$18:$I$47,$C137)</f>
        <v>0</v>
      </c>
      <c r="AA137" s="17">
        <f>COUNTIF('261023'!$C$18:$C$47,$C137)+COUNTIF('261023'!$I$18:$I$47,$C137)</f>
        <v>0</v>
      </c>
      <c r="AB137" s="17">
        <f>COUNTIF('261024'!$C$18:$C$47,$C137)+COUNTIF('261024'!$I$18:$I$47,$C137)</f>
        <v>0</v>
      </c>
      <c r="AC137" s="17">
        <f>COUNTIF('261025'!$C$18:$C$47,$C137)+COUNTIF('261025'!$I$18:$I$47,$C137)</f>
        <v>0</v>
      </c>
      <c r="AD137" s="17">
        <f>COUNTIF('261026'!$C$18:$C$47,$C137)+COUNTIF('261026'!$I$18:$I$47,$C137)</f>
        <v>0</v>
      </c>
      <c r="AE137" s="17">
        <f>COUNTIF('261027'!$C$18:$C$47,$C137)+COUNTIF('261027'!$I$18:$I$47,$C137)</f>
        <v>0</v>
      </c>
      <c r="AF137" s="17">
        <f>COUNTIF('261028'!$C$18:$C$47,$C137)+COUNTIF('261028'!$I$18:$I$47,$C137)</f>
        <v>0</v>
      </c>
      <c r="AG137" s="17">
        <f>COUNTIF('261029'!$C$18:$C$47,$C137)+COUNTIF('261029'!$I$18:$I$47,$C137)</f>
        <v>0</v>
      </c>
      <c r="AH137" s="17">
        <f>COUNTIF('261030'!$C$18:$C$47,$C137)+COUNTIF('261030'!$I$18:$I$47,$C137)</f>
        <v>0</v>
      </c>
      <c r="AI137" s="17">
        <f>COUNTIF('261031'!$C$18:$C$47,$C137)+COUNTIF('261031'!$I$18:$I$47,$C137)</f>
        <v>0</v>
      </c>
      <c r="AJ137" s="52">
        <f t="shared" si="5"/>
        <v>0</v>
      </c>
      <c r="AL137" s="16"/>
      <c r="AM137" s="16"/>
    </row>
    <row r="138" spans="2:39" ht="20.100000000000001" customHeight="1" x14ac:dyDescent="0.3">
      <c r="B138" s="36">
        <f t="shared" si="6"/>
        <v>134</v>
      </c>
      <c r="C138" s="19"/>
      <c r="D138" s="19"/>
      <c r="E138" s="17">
        <f>COUNTIF('261001'!$C$18:$C$47,$C138)+COUNTIF('261001'!$I$18:$I$47,$C138)</f>
        <v>0</v>
      </c>
      <c r="F138" s="17">
        <f>COUNTIF('261002'!$C$18:$C$47,$C138)+COUNTIF('261002'!$I$18:$I$47,$C138)</f>
        <v>0</v>
      </c>
      <c r="G138" s="17">
        <f>COUNTIF('261003'!$C$18:$C$47,$C138)+COUNTIF('261003'!$I$18:$I$47,$C138)</f>
        <v>0</v>
      </c>
      <c r="H138" s="17">
        <f>COUNTIF('261004'!$C$18:$C$47,$C138)+COUNTIF('261004'!$I$18:$I$47,$C138)</f>
        <v>0</v>
      </c>
      <c r="I138" s="17">
        <f>COUNTIF('261005'!$C$18:$C$47,$C138)+COUNTIF('261005'!$I$18:$I$47,$C138)</f>
        <v>0</v>
      </c>
      <c r="J138" s="17">
        <f>COUNTIF('261006'!$C$18:$C$47,$C138)+COUNTIF('261006'!$I$18:$I$47,$C138)</f>
        <v>0</v>
      </c>
      <c r="K138" s="17">
        <f>COUNTIF('261007'!$C$18:$C$47,$C138)+COUNTIF('261007'!$I$18:$I$47,$C138)</f>
        <v>0</v>
      </c>
      <c r="L138" s="17">
        <f>COUNTIF('261008'!$C$18:$C$47,$C138)+COUNTIF('261008'!$I$18:$I$47,$C138)</f>
        <v>0</v>
      </c>
      <c r="M138" s="17">
        <f>COUNTIF('261009'!$C$18:$C$47,$C138)+COUNTIF('261009'!$I$18:$I$47,$C138)</f>
        <v>0</v>
      </c>
      <c r="N138" s="17">
        <f>COUNTIF('261010'!$C$18:$C$47,$C138)+COUNTIF('261010'!$I$18:$I$47,$C138)</f>
        <v>0</v>
      </c>
      <c r="O138" s="17">
        <f>COUNTIF('261011'!$C$18:$C$47,$C138)+COUNTIF('261011'!$I$18:$I$47,$C138)</f>
        <v>0</v>
      </c>
      <c r="P138" s="17">
        <f>COUNTIF('261012'!$C$18:$C$47,$C138)+COUNTIF('261012'!$I$18:$I$47,$C138)</f>
        <v>0</v>
      </c>
      <c r="Q138" s="17">
        <f>COUNTIF('261013'!$C$18:$C$47,$C138)+COUNTIF('261013'!$I$18:$I$47,$C138)</f>
        <v>0</v>
      </c>
      <c r="R138" s="17">
        <f>COUNTIF('261014'!$C$18:$C$47,$C138)+COUNTIF('261014'!$I$18:$I$47,$C138)</f>
        <v>0</v>
      </c>
      <c r="S138" s="17">
        <f>COUNTIF('261015'!$C$18:$C$47,$C138)+COUNTIF('261015'!$I$18:$I$47,$C138)</f>
        <v>0</v>
      </c>
      <c r="T138" s="17">
        <f>COUNTIF('261016'!$C$18:$C$47,$C138)+COUNTIF('261016'!$I$18:$I$47,$C138)</f>
        <v>0</v>
      </c>
      <c r="U138" s="17">
        <f>COUNTIF('261017'!$C$18:$C$47,$C138)+COUNTIF('261017'!$I$18:$I$47,$C138)</f>
        <v>0</v>
      </c>
      <c r="V138" s="17">
        <f>COUNTIF('261018'!$C$18:$C$47,$C138)+COUNTIF('261018'!$I$18:$I$47,$C138)</f>
        <v>0</v>
      </c>
      <c r="W138" s="17">
        <f>COUNTIF('261019'!$C$18:$C$47,$C138)+COUNTIF('261019'!$I$18:$I$47,$C138)</f>
        <v>0</v>
      </c>
      <c r="X138" s="17">
        <f>COUNTIF('261020'!$C$18:$C$47,$C138)+COUNTIF('261020'!$I$18:$I$47,$C138)</f>
        <v>0</v>
      </c>
      <c r="Y138" s="17">
        <f>COUNTIF('261021'!$C$18:$C$47,$C138)+COUNTIF('261021'!$I$18:$I$47,$C138)</f>
        <v>0</v>
      </c>
      <c r="Z138" s="17">
        <f>COUNTIF('261022'!$C$18:$C$47,$C138)+COUNTIF('261022'!$I$18:$I$47,$C138)</f>
        <v>0</v>
      </c>
      <c r="AA138" s="17">
        <f>COUNTIF('261023'!$C$18:$C$47,$C138)+COUNTIF('261023'!$I$18:$I$47,$C138)</f>
        <v>0</v>
      </c>
      <c r="AB138" s="17">
        <f>COUNTIF('261024'!$C$18:$C$47,$C138)+COUNTIF('261024'!$I$18:$I$47,$C138)</f>
        <v>0</v>
      </c>
      <c r="AC138" s="17">
        <f>COUNTIF('261025'!$C$18:$C$47,$C138)+COUNTIF('261025'!$I$18:$I$47,$C138)</f>
        <v>0</v>
      </c>
      <c r="AD138" s="17">
        <f>COUNTIF('261026'!$C$18:$C$47,$C138)+COUNTIF('261026'!$I$18:$I$47,$C138)</f>
        <v>0</v>
      </c>
      <c r="AE138" s="17">
        <f>COUNTIF('261027'!$C$18:$C$47,$C138)+COUNTIF('261027'!$I$18:$I$47,$C138)</f>
        <v>0</v>
      </c>
      <c r="AF138" s="17">
        <f>COUNTIF('261028'!$C$18:$C$47,$C138)+COUNTIF('261028'!$I$18:$I$47,$C138)</f>
        <v>0</v>
      </c>
      <c r="AG138" s="17">
        <f>COUNTIF('261029'!$C$18:$C$47,$C138)+COUNTIF('261029'!$I$18:$I$47,$C138)</f>
        <v>0</v>
      </c>
      <c r="AH138" s="17">
        <f>COUNTIF('261030'!$C$18:$C$47,$C138)+COUNTIF('261030'!$I$18:$I$47,$C138)</f>
        <v>0</v>
      </c>
      <c r="AI138" s="17">
        <f>COUNTIF('261031'!$C$18:$C$47,$C138)+COUNTIF('261031'!$I$18:$I$47,$C138)</f>
        <v>0</v>
      </c>
      <c r="AJ138" s="52">
        <f t="shared" si="5"/>
        <v>0</v>
      </c>
      <c r="AL138" s="16"/>
      <c r="AM138" s="16"/>
    </row>
    <row r="139" spans="2:39" ht="20.100000000000001" customHeight="1" x14ac:dyDescent="0.3">
      <c r="B139" s="36">
        <f t="shared" si="6"/>
        <v>135</v>
      </c>
      <c r="C139" s="19"/>
      <c r="D139" s="19"/>
      <c r="E139" s="17">
        <f>COUNTIF('261001'!$C$18:$C$47,$C139)+COUNTIF('261001'!$I$18:$I$47,$C139)</f>
        <v>0</v>
      </c>
      <c r="F139" s="17">
        <f>COUNTIF('261002'!$C$18:$C$47,$C139)+COUNTIF('261002'!$I$18:$I$47,$C139)</f>
        <v>0</v>
      </c>
      <c r="G139" s="17">
        <f>COUNTIF('261003'!$C$18:$C$47,$C139)+COUNTIF('261003'!$I$18:$I$47,$C139)</f>
        <v>0</v>
      </c>
      <c r="H139" s="17">
        <f>COUNTIF('261004'!$C$18:$C$47,$C139)+COUNTIF('261004'!$I$18:$I$47,$C139)</f>
        <v>0</v>
      </c>
      <c r="I139" s="17">
        <f>COUNTIF('261005'!$C$18:$C$47,$C139)+COUNTIF('261005'!$I$18:$I$47,$C139)</f>
        <v>0</v>
      </c>
      <c r="J139" s="17">
        <f>COUNTIF('261006'!$C$18:$C$47,$C139)+COUNTIF('261006'!$I$18:$I$47,$C139)</f>
        <v>0</v>
      </c>
      <c r="K139" s="17">
        <f>COUNTIF('261007'!$C$18:$C$47,$C139)+COUNTIF('261007'!$I$18:$I$47,$C139)</f>
        <v>0</v>
      </c>
      <c r="L139" s="17">
        <f>COUNTIF('261008'!$C$18:$C$47,$C139)+COUNTIF('261008'!$I$18:$I$47,$C139)</f>
        <v>0</v>
      </c>
      <c r="M139" s="17">
        <f>COUNTIF('261009'!$C$18:$C$47,$C139)+COUNTIF('261009'!$I$18:$I$47,$C139)</f>
        <v>0</v>
      </c>
      <c r="N139" s="17">
        <f>COUNTIF('261010'!$C$18:$C$47,$C139)+COUNTIF('261010'!$I$18:$I$47,$C139)</f>
        <v>0</v>
      </c>
      <c r="O139" s="17">
        <f>COUNTIF('261011'!$C$18:$C$47,$C139)+COUNTIF('261011'!$I$18:$I$47,$C139)</f>
        <v>0</v>
      </c>
      <c r="P139" s="17">
        <f>COUNTIF('261012'!$C$18:$C$47,$C139)+COUNTIF('261012'!$I$18:$I$47,$C139)</f>
        <v>0</v>
      </c>
      <c r="Q139" s="17">
        <f>COUNTIF('261013'!$C$18:$C$47,$C139)+COUNTIF('261013'!$I$18:$I$47,$C139)</f>
        <v>0</v>
      </c>
      <c r="R139" s="17">
        <f>COUNTIF('261014'!$C$18:$C$47,$C139)+COUNTIF('261014'!$I$18:$I$47,$C139)</f>
        <v>0</v>
      </c>
      <c r="S139" s="17">
        <f>COUNTIF('261015'!$C$18:$C$47,$C139)+COUNTIF('261015'!$I$18:$I$47,$C139)</f>
        <v>0</v>
      </c>
      <c r="T139" s="17">
        <f>COUNTIF('261016'!$C$18:$C$47,$C139)+COUNTIF('261016'!$I$18:$I$47,$C139)</f>
        <v>0</v>
      </c>
      <c r="U139" s="17">
        <f>COUNTIF('261017'!$C$18:$C$47,$C139)+COUNTIF('261017'!$I$18:$I$47,$C139)</f>
        <v>0</v>
      </c>
      <c r="V139" s="17">
        <f>COUNTIF('261018'!$C$18:$C$47,$C139)+COUNTIF('261018'!$I$18:$I$47,$C139)</f>
        <v>0</v>
      </c>
      <c r="W139" s="17">
        <f>COUNTIF('261019'!$C$18:$C$47,$C139)+COUNTIF('261019'!$I$18:$I$47,$C139)</f>
        <v>0</v>
      </c>
      <c r="X139" s="17">
        <f>COUNTIF('261020'!$C$18:$C$47,$C139)+COUNTIF('261020'!$I$18:$I$47,$C139)</f>
        <v>0</v>
      </c>
      <c r="Y139" s="17">
        <f>COUNTIF('261021'!$C$18:$C$47,$C139)+COUNTIF('261021'!$I$18:$I$47,$C139)</f>
        <v>0</v>
      </c>
      <c r="Z139" s="17">
        <f>COUNTIF('261022'!$C$18:$C$47,$C139)+COUNTIF('261022'!$I$18:$I$47,$C139)</f>
        <v>0</v>
      </c>
      <c r="AA139" s="17">
        <f>COUNTIF('261023'!$C$18:$C$47,$C139)+COUNTIF('261023'!$I$18:$I$47,$C139)</f>
        <v>0</v>
      </c>
      <c r="AB139" s="17">
        <f>COUNTIF('261024'!$C$18:$C$47,$C139)+COUNTIF('261024'!$I$18:$I$47,$C139)</f>
        <v>0</v>
      </c>
      <c r="AC139" s="17">
        <f>COUNTIF('261025'!$C$18:$C$47,$C139)+COUNTIF('261025'!$I$18:$I$47,$C139)</f>
        <v>0</v>
      </c>
      <c r="AD139" s="17">
        <f>COUNTIF('261026'!$C$18:$C$47,$C139)+COUNTIF('261026'!$I$18:$I$47,$C139)</f>
        <v>0</v>
      </c>
      <c r="AE139" s="17">
        <f>COUNTIF('261027'!$C$18:$C$47,$C139)+COUNTIF('261027'!$I$18:$I$47,$C139)</f>
        <v>0</v>
      </c>
      <c r="AF139" s="17">
        <f>COUNTIF('261028'!$C$18:$C$47,$C139)+COUNTIF('261028'!$I$18:$I$47,$C139)</f>
        <v>0</v>
      </c>
      <c r="AG139" s="17">
        <f>COUNTIF('261029'!$C$18:$C$47,$C139)+COUNTIF('261029'!$I$18:$I$47,$C139)</f>
        <v>0</v>
      </c>
      <c r="AH139" s="17">
        <f>COUNTIF('261030'!$C$18:$C$47,$C139)+COUNTIF('261030'!$I$18:$I$47,$C139)</f>
        <v>0</v>
      </c>
      <c r="AI139" s="17">
        <f>COUNTIF('261031'!$C$18:$C$47,$C139)+COUNTIF('261031'!$I$18:$I$47,$C139)</f>
        <v>0</v>
      </c>
      <c r="AJ139" s="52">
        <f t="shared" si="5"/>
        <v>0</v>
      </c>
      <c r="AL139" s="16"/>
      <c r="AM139" s="16"/>
    </row>
    <row r="140" spans="2:39" ht="20.100000000000001" customHeight="1" x14ac:dyDescent="0.3">
      <c r="B140" s="36">
        <f t="shared" si="6"/>
        <v>136</v>
      </c>
      <c r="C140" s="19"/>
      <c r="D140" s="19"/>
      <c r="E140" s="17">
        <f>COUNTIF('261001'!$C$18:$C$47,$C140)+COUNTIF('261001'!$I$18:$I$47,$C140)</f>
        <v>0</v>
      </c>
      <c r="F140" s="17">
        <f>COUNTIF('261002'!$C$18:$C$47,$C140)+COUNTIF('261002'!$I$18:$I$47,$C140)</f>
        <v>0</v>
      </c>
      <c r="G140" s="17">
        <f>COUNTIF('261003'!$C$18:$C$47,$C140)+COUNTIF('261003'!$I$18:$I$47,$C140)</f>
        <v>0</v>
      </c>
      <c r="H140" s="17">
        <f>COUNTIF('261004'!$C$18:$C$47,$C140)+COUNTIF('261004'!$I$18:$I$47,$C140)</f>
        <v>0</v>
      </c>
      <c r="I140" s="17">
        <f>COUNTIF('261005'!$C$18:$C$47,$C140)+COUNTIF('261005'!$I$18:$I$47,$C140)</f>
        <v>0</v>
      </c>
      <c r="J140" s="17">
        <f>COUNTIF('261006'!$C$18:$C$47,$C140)+COUNTIF('261006'!$I$18:$I$47,$C140)</f>
        <v>0</v>
      </c>
      <c r="K140" s="17">
        <f>COUNTIF('261007'!$C$18:$C$47,$C140)+COUNTIF('261007'!$I$18:$I$47,$C140)</f>
        <v>0</v>
      </c>
      <c r="L140" s="17">
        <f>COUNTIF('261008'!$C$18:$C$47,$C140)+COUNTIF('261008'!$I$18:$I$47,$C140)</f>
        <v>0</v>
      </c>
      <c r="M140" s="17">
        <f>COUNTIF('261009'!$C$18:$C$47,$C140)+COUNTIF('261009'!$I$18:$I$47,$C140)</f>
        <v>0</v>
      </c>
      <c r="N140" s="17">
        <f>COUNTIF('261010'!$C$18:$C$47,$C140)+COUNTIF('261010'!$I$18:$I$47,$C140)</f>
        <v>0</v>
      </c>
      <c r="O140" s="17">
        <f>COUNTIF('261011'!$C$18:$C$47,$C140)+COUNTIF('261011'!$I$18:$I$47,$C140)</f>
        <v>0</v>
      </c>
      <c r="P140" s="17">
        <f>COUNTIF('261012'!$C$18:$C$47,$C140)+COUNTIF('261012'!$I$18:$I$47,$C140)</f>
        <v>0</v>
      </c>
      <c r="Q140" s="17">
        <f>COUNTIF('261013'!$C$18:$C$47,$C140)+COUNTIF('261013'!$I$18:$I$47,$C140)</f>
        <v>0</v>
      </c>
      <c r="R140" s="17">
        <f>COUNTIF('261014'!$C$18:$C$47,$C140)+COUNTIF('261014'!$I$18:$I$47,$C140)</f>
        <v>0</v>
      </c>
      <c r="S140" s="17">
        <f>COUNTIF('261015'!$C$18:$C$47,$C140)+COUNTIF('261015'!$I$18:$I$47,$C140)</f>
        <v>0</v>
      </c>
      <c r="T140" s="17">
        <f>COUNTIF('261016'!$C$18:$C$47,$C140)+COUNTIF('261016'!$I$18:$I$47,$C140)</f>
        <v>0</v>
      </c>
      <c r="U140" s="17">
        <f>COUNTIF('261017'!$C$18:$C$47,$C140)+COUNTIF('261017'!$I$18:$I$47,$C140)</f>
        <v>0</v>
      </c>
      <c r="V140" s="17">
        <f>COUNTIF('261018'!$C$18:$C$47,$C140)+COUNTIF('261018'!$I$18:$I$47,$C140)</f>
        <v>0</v>
      </c>
      <c r="W140" s="17">
        <f>COUNTIF('261019'!$C$18:$C$47,$C140)+COUNTIF('261019'!$I$18:$I$47,$C140)</f>
        <v>0</v>
      </c>
      <c r="X140" s="17">
        <f>COUNTIF('261020'!$C$18:$C$47,$C140)+COUNTIF('261020'!$I$18:$I$47,$C140)</f>
        <v>0</v>
      </c>
      <c r="Y140" s="17">
        <f>COUNTIF('261021'!$C$18:$C$47,$C140)+COUNTIF('261021'!$I$18:$I$47,$C140)</f>
        <v>0</v>
      </c>
      <c r="Z140" s="17">
        <f>COUNTIF('261022'!$C$18:$C$47,$C140)+COUNTIF('261022'!$I$18:$I$47,$C140)</f>
        <v>0</v>
      </c>
      <c r="AA140" s="17">
        <f>COUNTIF('261023'!$C$18:$C$47,$C140)+COUNTIF('261023'!$I$18:$I$47,$C140)</f>
        <v>0</v>
      </c>
      <c r="AB140" s="17">
        <f>COUNTIF('261024'!$C$18:$C$47,$C140)+COUNTIF('261024'!$I$18:$I$47,$C140)</f>
        <v>0</v>
      </c>
      <c r="AC140" s="17">
        <f>COUNTIF('261025'!$C$18:$C$47,$C140)+COUNTIF('261025'!$I$18:$I$47,$C140)</f>
        <v>0</v>
      </c>
      <c r="AD140" s="17">
        <f>COUNTIF('261026'!$C$18:$C$47,$C140)+COUNTIF('261026'!$I$18:$I$47,$C140)</f>
        <v>0</v>
      </c>
      <c r="AE140" s="17">
        <f>COUNTIF('261027'!$C$18:$C$47,$C140)+COUNTIF('261027'!$I$18:$I$47,$C140)</f>
        <v>0</v>
      </c>
      <c r="AF140" s="17">
        <f>COUNTIF('261028'!$C$18:$C$47,$C140)+COUNTIF('261028'!$I$18:$I$47,$C140)</f>
        <v>0</v>
      </c>
      <c r="AG140" s="17">
        <f>COUNTIF('261029'!$C$18:$C$47,$C140)+COUNTIF('261029'!$I$18:$I$47,$C140)</f>
        <v>0</v>
      </c>
      <c r="AH140" s="17">
        <f>COUNTIF('261030'!$C$18:$C$47,$C140)+COUNTIF('261030'!$I$18:$I$47,$C140)</f>
        <v>0</v>
      </c>
      <c r="AI140" s="17">
        <f>COUNTIF('261031'!$C$18:$C$47,$C140)+COUNTIF('261031'!$I$18:$I$47,$C140)</f>
        <v>0</v>
      </c>
      <c r="AJ140" s="52">
        <f t="shared" si="5"/>
        <v>0</v>
      </c>
      <c r="AL140" s="16"/>
      <c r="AM140" s="16"/>
    </row>
    <row r="141" spans="2:39" ht="20.100000000000001" customHeight="1" x14ac:dyDescent="0.3">
      <c r="B141" s="36">
        <f t="shared" si="6"/>
        <v>137</v>
      </c>
      <c r="C141" s="19"/>
      <c r="D141" s="19"/>
      <c r="E141" s="17">
        <f>COUNTIF('261001'!$C$18:$C$47,$C141)+COUNTIF('261001'!$I$18:$I$47,$C141)</f>
        <v>0</v>
      </c>
      <c r="F141" s="17">
        <f>COUNTIF('261002'!$C$18:$C$47,$C141)+COUNTIF('261002'!$I$18:$I$47,$C141)</f>
        <v>0</v>
      </c>
      <c r="G141" s="17">
        <f>COUNTIF('261003'!$C$18:$C$47,$C141)+COUNTIF('261003'!$I$18:$I$47,$C141)</f>
        <v>0</v>
      </c>
      <c r="H141" s="17">
        <f>COUNTIF('261004'!$C$18:$C$47,$C141)+COUNTIF('261004'!$I$18:$I$47,$C141)</f>
        <v>0</v>
      </c>
      <c r="I141" s="17">
        <f>COUNTIF('261005'!$C$18:$C$47,$C141)+COUNTIF('261005'!$I$18:$I$47,$C141)</f>
        <v>0</v>
      </c>
      <c r="J141" s="17">
        <f>COUNTIF('261006'!$C$18:$C$47,$C141)+COUNTIF('261006'!$I$18:$I$47,$C141)</f>
        <v>0</v>
      </c>
      <c r="K141" s="17">
        <f>COUNTIF('261007'!$C$18:$C$47,$C141)+COUNTIF('261007'!$I$18:$I$47,$C141)</f>
        <v>0</v>
      </c>
      <c r="L141" s="17">
        <f>COUNTIF('261008'!$C$18:$C$47,$C141)+COUNTIF('261008'!$I$18:$I$47,$C141)</f>
        <v>0</v>
      </c>
      <c r="M141" s="17">
        <f>COUNTIF('261009'!$C$18:$C$47,$C141)+COUNTIF('261009'!$I$18:$I$47,$C141)</f>
        <v>0</v>
      </c>
      <c r="N141" s="17">
        <f>COUNTIF('261010'!$C$18:$C$47,$C141)+COUNTIF('261010'!$I$18:$I$47,$C141)</f>
        <v>0</v>
      </c>
      <c r="O141" s="17">
        <f>COUNTIF('261011'!$C$18:$C$47,$C141)+COUNTIF('261011'!$I$18:$I$47,$C141)</f>
        <v>0</v>
      </c>
      <c r="P141" s="17">
        <f>COUNTIF('261012'!$C$18:$C$47,$C141)+COUNTIF('261012'!$I$18:$I$47,$C141)</f>
        <v>0</v>
      </c>
      <c r="Q141" s="17">
        <f>COUNTIF('261013'!$C$18:$C$47,$C141)+COUNTIF('261013'!$I$18:$I$47,$C141)</f>
        <v>0</v>
      </c>
      <c r="R141" s="17">
        <f>COUNTIF('261014'!$C$18:$C$47,$C141)+COUNTIF('261014'!$I$18:$I$47,$C141)</f>
        <v>0</v>
      </c>
      <c r="S141" s="17">
        <f>COUNTIF('261015'!$C$18:$C$47,$C141)+COUNTIF('261015'!$I$18:$I$47,$C141)</f>
        <v>0</v>
      </c>
      <c r="T141" s="17">
        <f>COUNTIF('261016'!$C$18:$C$47,$C141)+COUNTIF('261016'!$I$18:$I$47,$C141)</f>
        <v>0</v>
      </c>
      <c r="U141" s="17">
        <f>COUNTIF('261017'!$C$18:$C$47,$C141)+COUNTIF('261017'!$I$18:$I$47,$C141)</f>
        <v>0</v>
      </c>
      <c r="V141" s="17">
        <f>COUNTIF('261018'!$C$18:$C$47,$C141)+COUNTIF('261018'!$I$18:$I$47,$C141)</f>
        <v>0</v>
      </c>
      <c r="W141" s="17">
        <f>COUNTIF('261019'!$C$18:$C$47,$C141)+COUNTIF('261019'!$I$18:$I$47,$C141)</f>
        <v>0</v>
      </c>
      <c r="X141" s="17">
        <f>COUNTIF('261020'!$C$18:$C$47,$C141)+COUNTIF('261020'!$I$18:$I$47,$C141)</f>
        <v>0</v>
      </c>
      <c r="Y141" s="17">
        <f>COUNTIF('261021'!$C$18:$C$47,$C141)+COUNTIF('261021'!$I$18:$I$47,$C141)</f>
        <v>0</v>
      </c>
      <c r="Z141" s="17">
        <f>COUNTIF('261022'!$C$18:$C$47,$C141)+COUNTIF('261022'!$I$18:$I$47,$C141)</f>
        <v>0</v>
      </c>
      <c r="AA141" s="17">
        <f>COUNTIF('261023'!$C$18:$C$47,$C141)+COUNTIF('261023'!$I$18:$I$47,$C141)</f>
        <v>0</v>
      </c>
      <c r="AB141" s="17">
        <f>COUNTIF('261024'!$C$18:$C$47,$C141)+COUNTIF('261024'!$I$18:$I$47,$C141)</f>
        <v>0</v>
      </c>
      <c r="AC141" s="17">
        <f>COUNTIF('261025'!$C$18:$C$47,$C141)+COUNTIF('261025'!$I$18:$I$47,$C141)</f>
        <v>0</v>
      </c>
      <c r="AD141" s="17">
        <f>COUNTIF('261026'!$C$18:$C$47,$C141)+COUNTIF('261026'!$I$18:$I$47,$C141)</f>
        <v>0</v>
      </c>
      <c r="AE141" s="17">
        <f>COUNTIF('261027'!$C$18:$C$47,$C141)+COUNTIF('261027'!$I$18:$I$47,$C141)</f>
        <v>0</v>
      </c>
      <c r="AF141" s="17">
        <f>COUNTIF('261028'!$C$18:$C$47,$C141)+COUNTIF('261028'!$I$18:$I$47,$C141)</f>
        <v>0</v>
      </c>
      <c r="AG141" s="17">
        <f>COUNTIF('261029'!$C$18:$C$47,$C141)+COUNTIF('261029'!$I$18:$I$47,$C141)</f>
        <v>0</v>
      </c>
      <c r="AH141" s="17">
        <f>COUNTIF('261030'!$C$18:$C$47,$C141)+COUNTIF('261030'!$I$18:$I$47,$C141)</f>
        <v>0</v>
      </c>
      <c r="AI141" s="17">
        <f>COUNTIF('261031'!$C$18:$C$47,$C141)+COUNTIF('261031'!$I$18:$I$47,$C141)</f>
        <v>0</v>
      </c>
      <c r="AJ141" s="52">
        <f t="shared" si="5"/>
        <v>0</v>
      </c>
      <c r="AL141" s="16"/>
      <c r="AM141" s="16"/>
    </row>
    <row r="142" spans="2:39" ht="20.100000000000001" customHeight="1" x14ac:dyDescent="0.3">
      <c r="B142" s="36">
        <f t="shared" si="6"/>
        <v>138</v>
      </c>
      <c r="C142" s="19"/>
      <c r="D142" s="19"/>
      <c r="E142" s="17">
        <f>COUNTIF('261001'!$C$18:$C$47,$C142)+COUNTIF('261001'!$I$18:$I$47,$C142)</f>
        <v>0</v>
      </c>
      <c r="F142" s="17">
        <f>COUNTIF('261002'!$C$18:$C$47,$C142)+COUNTIF('261002'!$I$18:$I$47,$C142)</f>
        <v>0</v>
      </c>
      <c r="G142" s="17">
        <f>COUNTIF('261003'!$C$18:$C$47,$C142)+COUNTIF('261003'!$I$18:$I$47,$C142)</f>
        <v>0</v>
      </c>
      <c r="H142" s="17">
        <f>COUNTIF('261004'!$C$18:$C$47,$C142)+COUNTIF('261004'!$I$18:$I$47,$C142)</f>
        <v>0</v>
      </c>
      <c r="I142" s="17">
        <f>COUNTIF('261005'!$C$18:$C$47,$C142)+COUNTIF('261005'!$I$18:$I$47,$C142)</f>
        <v>0</v>
      </c>
      <c r="J142" s="17">
        <f>COUNTIF('261006'!$C$18:$C$47,$C142)+COUNTIF('261006'!$I$18:$I$47,$C142)</f>
        <v>0</v>
      </c>
      <c r="K142" s="17">
        <f>COUNTIF('261007'!$C$18:$C$47,$C142)+COUNTIF('261007'!$I$18:$I$47,$C142)</f>
        <v>0</v>
      </c>
      <c r="L142" s="17">
        <f>COUNTIF('261008'!$C$18:$C$47,$C142)+COUNTIF('261008'!$I$18:$I$47,$C142)</f>
        <v>0</v>
      </c>
      <c r="M142" s="17">
        <f>COUNTIF('261009'!$C$18:$C$47,$C142)+COUNTIF('261009'!$I$18:$I$47,$C142)</f>
        <v>0</v>
      </c>
      <c r="N142" s="17">
        <f>COUNTIF('261010'!$C$18:$C$47,$C142)+COUNTIF('261010'!$I$18:$I$47,$C142)</f>
        <v>0</v>
      </c>
      <c r="O142" s="17">
        <f>COUNTIF('261011'!$C$18:$C$47,$C142)+COUNTIF('261011'!$I$18:$I$47,$C142)</f>
        <v>0</v>
      </c>
      <c r="P142" s="17">
        <f>COUNTIF('261012'!$C$18:$C$47,$C142)+COUNTIF('261012'!$I$18:$I$47,$C142)</f>
        <v>0</v>
      </c>
      <c r="Q142" s="17">
        <f>COUNTIF('261013'!$C$18:$C$47,$C142)+COUNTIF('261013'!$I$18:$I$47,$C142)</f>
        <v>0</v>
      </c>
      <c r="R142" s="17">
        <f>COUNTIF('261014'!$C$18:$C$47,$C142)+COUNTIF('261014'!$I$18:$I$47,$C142)</f>
        <v>0</v>
      </c>
      <c r="S142" s="17">
        <f>COUNTIF('261015'!$C$18:$C$47,$C142)+COUNTIF('261015'!$I$18:$I$47,$C142)</f>
        <v>0</v>
      </c>
      <c r="T142" s="17">
        <f>COUNTIF('261016'!$C$18:$C$47,$C142)+COUNTIF('261016'!$I$18:$I$47,$C142)</f>
        <v>0</v>
      </c>
      <c r="U142" s="17">
        <f>COUNTIF('261017'!$C$18:$C$47,$C142)+COUNTIF('261017'!$I$18:$I$47,$C142)</f>
        <v>0</v>
      </c>
      <c r="V142" s="17">
        <f>COUNTIF('261018'!$C$18:$C$47,$C142)+COUNTIF('261018'!$I$18:$I$47,$C142)</f>
        <v>0</v>
      </c>
      <c r="W142" s="17">
        <f>COUNTIF('261019'!$C$18:$C$47,$C142)+COUNTIF('261019'!$I$18:$I$47,$C142)</f>
        <v>0</v>
      </c>
      <c r="X142" s="17">
        <f>COUNTIF('261020'!$C$18:$C$47,$C142)+COUNTIF('261020'!$I$18:$I$47,$C142)</f>
        <v>0</v>
      </c>
      <c r="Y142" s="17">
        <f>COUNTIF('261021'!$C$18:$C$47,$C142)+COUNTIF('261021'!$I$18:$I$47,$C142)</f>
        <v>0</v>
      </c>
      <c r="Z142" s="17">
        <f>COUNTIF('261022'!$C$18:$C$47,$C142)+COUNTIF('261022'!$I$18:$I$47,$C142)</f>
        <v>0</v>
      </c>
      <c r="AA142" s="17">
        <f>COUNTIF('261023'!$C$18:$C$47,$C142)+COUNTIF('261023'!$I$18:$I$47,$C142)</f>
        <v>0</v>
      </c>
      <c r="AB142" s="17">
        <f>COUNTIF('261024'!$C$18:$C$47,$C142)+COUNTIF('261024'!$I$18:$I$47,$C142)</f>
        <v>0</v>
      </c>
      <c r="AC142" s="17">
        <f>COUNTIF('261025'!$C$18:$C$47,$C142)+COUNTIF('261025'!$I$18:$I$47,$C142)</f>
        <v>0</v>
      </c>
      <c r="AD142" s="17">
        <f>COUNTIF('261026'!$C$18:$C$47,$C142)+COUNTIF('261026'!$I$18:$I$47,$C142)</f>
        <v>0</v>
      </c>
      <c r="AE142" s="17">
        <f>COUNTIF('261027'!$C$18:$C$47,$C142)+COUNTIF('261027'!$I$18:$I$47,$C142)</f>
        <v>0</v>
      </c>
      <c r="AF142" s="17">
        <f>COUNTIF('261028'!$C$18:$C$47,$C142)+COUNTIF('261028'!$I$18:$I$47,$C142)</f>
        <v>0</v>
      </c>
      <c r="AG142" s="17">
        <f>COUNTIF('261029'!$C$18:$C$47,$C142)+COUNTIF('261029'!$I$18:$I$47,$C142)</f>
        <v>0</v>
      </c>
      <c r="AH142" s="17">
        <f>COUNTIF('261030'!$C$18:$C$47,$C142)+COUNTIF('261030'!$I$18:$I$47,$C142)</f>
        <v>0</v>
      </c>
      <c r="AI142" s="17">
        <f>COUNTIF('261031'!$C$18:$C$47,$C142)+COUNTIF('261031'!$I$18:$I$47,$C142)</f>
        <v>0</v>
      </c>
      <c r="AJ142" s="52">
        <f t="shared" si="5"/>
        <v>0</v>
      </c>
      <c r="AL142" s="16"/>
      <c r="AM142" s="16"/>
    </row>
    <row r="143" spans="2:39" ht="20.100000000000001" customHeight="1" x14ac:dyDescent="0.3">
      <c r="B143" s="36">
        <f t="shared" si="6"/>
        <v>139</v>
      </c>
      <c r="C143" s="19"/>
      <c r="D143" s="19"/>
      <c r="E143" s="17">
        <f>COUNTIF('261001'!$C$18:$C$47,$C143)+COUNTIF('261001'!$I$18:$I$47,$C143)</f>
        <v>0</v>
      </c>
      <c r="F143" s="17">
        <f>COUNTIF('261002'!$C$18:$C$47,$C143)+COUNTIF('261002'!$I$18:$I$47,$C143)</f>
        <v>0</v>
      </c>
      <c r="G143" s="17">
        <f>COUNTIF('261003'!$C$18:$C$47,$C143)+COUNTIF('261003'!$I$18:$I$47,$C143)</f>
        <v>0</v>
      </c>
      <c r="H143" s="17">
        <f>COUNTIF('261004'!$C$18:$C$47,$C143)+COUNTIF('261004'!$I$18:$I$47,$C143)</f>
        <v>0</v>
      </c>
      <c r="I143" s="17">
        <f>COUNTIF('261005'!$C$18:$C$47,$C143)+COUNTIF('261005'!$I$18:$I$47,$C143)</f>
        <v>0</v>
      </c>
      <c r="J143" s="17">
        <f>COUNTIF('261006'!$C$18:$C$47,$C143)+COUNTIF('261006'!$I$18:$I$47,$C143)</f>
        <v>0</v>
      </c>
      <c r="K143" s="17">
        <f>COUNTIF('261007'!$C$18:$C$47,$C143)+COUNTIF('261007'!$I$18:$I$47,$C143)</f>
        <v>0</v>
      </c>
      <c r="L143" s="17">
        <f>COUNTIF('261008'!$C$18:$C$47,$C143)+COUNTIF('261008'!$I$18:$I$47,$C143)</f>
        <v>0</v>
      </c>
      <c r="M143" s="17">
        <f>COUNTIF('261009'!$C$18:$C$47,$C143)+COUNTIF('261009'!$I$18:$I$47,$C143)</f>
        <v>0</v>
      </c>
      <c r="N143" s="17">
        <f>COUNTIF('261010'!$C$18:$C$47,$C143)+COUNTIF('261010'!$I$18:$I$47,$C143)</f>
        <v>0</v>
      </c>
      <c r="O143" s="17">
        <f>COUNTIF('261011'!$C$18:$C$47,$C143)+COUNTIF('261011'!$I$18:$I$47,$C143)</f>
        <v>0</v>
      </c>
      <c r="P143" s="17">
        <f>COUNTIF('261012'!$C$18:$C$47,$C143)+COUNTIF('261012'!$I$18:$I$47,$C143)</f>
        <v>0</v>
      </c>
      <c r="Q143" s="17">
        <f>COUNTIF('261013'!$C$18:$C$47,$C143)+COUNTIF('261013'!$I$18:$I$47,$C143)</f>
        <v>0</v>
      </c>
      <c r="R143" s="17">
        <f>COUNTIF('261014'!$C$18:$C$47,$C143)+COUNTIF('261014'!$I$18:$I$47,$C143)</f>
        <v>0</v>
      </c>
      <c r="S143" s="17">
        <f>COUNTIF('261015'!$C$18:$C$47,$C143)+COUNTIF('261015'!$I$18:$I$47,$C143)</f>
        <v>0</v>
      </c>
      <c r="T143" s="17">
        <f>COUNTIF('261016'!$C$18:$C$47,$C143)+COUNTIF('261016'!$I$18:$I$47,$C143)</f>
        <v>0</v>
      </c>
      <c r="U143" s="17">
        <f>COUNTIF('261017'!$C$18:$C$47,$C143)+COUNTIF('261017'!$I$18:$I$47,$C143)</f>
        <v>0</v>
      </c>
      <c r="V143" s="17">
        <f>COUNTIF('261018'!$C$18:$C$47,$C143)+COUNTIF('261018'!$I$18:$I$47,$C143)</f>
        <v>0</v>
      </c>
      <c r="W143" s="17">
        <f>COUNTIF('261019'!$C$18:$C$47,$C143)+COUNTIF('261019'!$I$18:$I$47,$C143)</f>
        <v>0</v>
      </c>
      <c r="X143" s="17">
        <f>COUNTIF('261020'!$C$18:$C$47,$C143)+COUNTIF('261020'!$I$18:$I$47,$C143)</f>
        <v>0</v>
      </c>
      <c r="Y143" s="17">
        <f>COUNTIF('261021'!$C$18:$C$47,$C143)+COUNTIF('261021'!$I$18:$I$47,$C143)</f>
        <v>0</v>
      </c>
      <c r="Z143" s="17">
        <f>COUNTIF('261022'!$C$18:$C$47,$C143)+COUNTIF('261022'!$I$18:$I$47,$C143)</f>
        <v>0</v>
      </c>
      <c r="AA143" s="17">
        <f>COUNTIF('261023'!$C$18:$C$47,$C143)+COUNTIF('261023'!$I$18:$I$47,$C143)</f>
        <v>0</v>
      </c>
      <c r="AB143" s="17">
        <f>COUNTIF('261024'!$C$18:$C$47,$C143)+COUNTIF('261024'!$I$18:$I$47,$C143)</f>
        <v>0</v>
      </c>
      <c r="AC143" s="17">
        <f>COUNTIF('261025'!$C$18:$C$47,$C143)+COUNTIF('261025'!$I$18:$I$47,$C143)</f>
        <v>0</v>
      </c>
      <c r="AD143" s="17">
        <f>COUNTIF('261026'!$C$18:$C$47,$C143)+COUNTIF('261026'!$I$18:$I$47,$C143)</f>
        <v>0</v>
      </c>
      <c r="AE143" s="17">
        <f>COUNTIF('261027'!$C$18:$C$47,$C143)+COUNTIF('261027'!$I$18:$I$47,$C143)</f>
        <v>0</v>
      </c>
      <c r="AF143" s="17">
        <f>COUNTIF('261028'!$C$18:$C$47,$C143)+COUNTIF('261028'!$I$18:$I$47,$C143)</f>
        <v>0</v>
      </c>
      <c r="AG143" s="17">
        <f>COUNTIF('261029'!$C$18:$C$47,$C143)+COUNTIF('261029'!$I$18:$I$47,$C143)</f>
        <v>0</v>
      </c>
      <c r="AH143" s="17">
        <f>COUNTIF('261030'!$C$18:$C$47,$C143)+COUNTIF('261030'!$I$18:$I$47,$C143)</f>
        <v>0</v>
      </c>
      <c r="AI143" s="17">
        <f>COUNTIF('261031'!$C$18:$C$47,$C143)+COUNTIF('261031'!$I$18:$I$47,$C143)</f>
        <v>0</v>
      </c>
      <c r="AJ143" s="52">
        <f t="shared" si="5"/>
        <v>0</v>
      </c>
      <c r="AL143" s="16"/>
      <c r="AM143" s="16"/>
    </row>
    <row r="144" spans="2:39" ht="20.100000000000001" customHeight="1" x14ac:dyDescent="0.3">
      <c r="B144" s="36">
        <f t="shared" si="6"/>
        <v>140</v>
      </c>
      <c r="C144" s="19"/>
      <c r="D144" s="19"/>
      <c r="E144" s="17">
        <f>COUNTIF('261001'!$C$18:$C$47,$C144)+COUNTIF('261001'!$I$18:$I$47,$C144)</f>
        <v>0</v>
      </c>
      <c r="F144" s="17">
        <f>COUNTIF('261002'!$C$18:$C$47,$C144)+COUNTIF('261002'!$I$18:$I$47,$C144)</f>
        <v>0</v>
      </c>
      <c r="G144" s="17">
        <f>COUNTIF('261003'!$C$18:$C$47,$C144)+COUNTIF('261003'!$I$18:$I$47,$C144)</f>
        <v>0</v>
      </c>
      <c r="H144" s="17">
        <f>COUNTIF('261004'!$C$18:$C$47,$C144)+COUNTIF('261004'!$I$18:$I$47,$C144)</f>
        <v>0</v>
      </c>
      <c r="I144" s="17">
        <f>COUNTIF('261005'!$C$18:$C$47,$C144)+COUNTIF('261005'!$I$18:$I$47,$C144)</f>
        <v>0</v>
      </c>
      <c r="J144" s="17">
        <f>COUNTIF('261006'!$C$18:$C$47,$C144)+COUNTIF('261006'!$I$18:$I$47,$C144)</f>
        <v>0</v>
      </c>
      <c r="K144" s="17">
        <f>COUNTIF('261007'!$C$18:$C$47,$C144)+COUNTIF('261007'!$I$18:$I$47,$C144)</f>
        <v>0</v>
      </c>
      <c r="L144" s="17">
        <f>COUNTIF('261008'!$C$18:$C$47,$C144)+COUNTIF('261008'!$I$18:$I$47,$C144)</f>
        <v>0</v>
      </c>
      <c r="M144" s="17">
        <f>COUNTIF('261009'!$C$18:$C$47,$C144)+COUNTIF('261009'!$I$18:$I$47,$C144)</f>
        <v>0</v>
      </c>
      <c r="N144" s="17">
        <f>COUNTIF('261010'!$C$18:$C$47,$C144)+COUNTIF('261010'!$I$18:$I$47,$C144)</f>
        <v>0</v>
      </c>
      <c r="O144" s="17">
        <f>COUNTIF('261011'!$C$18:$C$47,$C144)+COUNTIF('261011'!$I$18:$I$47,$C144)</f>
        <v>0</v>
      </c>
      <c r="P144" s="17">
        <f>COUNTIF('261012'!$C$18:$C$47,$C144)+COUNTIF('261012'!$I$18:$I$47,$C144)</f>
        <v>0</v>
      </c>
      <c r="Q144" s="17">
        <f>COUNTIF('261013'!$C$18:$C$47,$C144)+COUNTIF('261013'!$I$18:$I$47,$C144)</f>
        <v>0</v>
      </c>
      <c r="R144" s="17">
        <f>COUNTIF('261014'!$C$18:$C$47,$C144)+COUNTIF('261014'!$I$18:$I$47,$C144)</f>
        <v>0</v>
      </c>
      <c r="S144" s="17">
        <f>COUNTIF('261015'!$C$18:$C$47,$C144)+COUNTIF('261015'!$I$18:$I$47,$C144)</f>
        <v>0</v>
      </c>
      <c r="T144" s="17">
        <f>COUNTIF('261016'!$C$18:$C$47,$C144)+COUNTIF('261016'!$I$18:$I$47,$C144)</f>
        <v>0</v>
      </c>
      <c r="U144" s="17">
        <f>COUNTIF('261017'!$C$18:$C$47,$C144)+COUNTIF('261017'!$I$18:$I$47,$C144)</f>
        <v>0</v>
      </c>
      <c r="V144" s="17">
        <f>COUNTIF('261018'!$C$18:$C$47,$C144)+COUNTIF('261018'!$I$18:$I$47,$C144)</f>
        <v>0</v>
      </c>
      <c r="W144" s="17">
        <f>COUNTIF('261019'!$C$18:$C$47,$C144)+COUNTIF('261019'!$I$18:$I$47,$C144)</f>
        <v>0</v>
      </c>
      <c r="X144" s="17">
        <f>COUNTIF('261020'!$C$18:$C$47,$C144)+COUNTIF('261020'!$I$18:$I$47,$C144)</f>
        <v>0</v>
      </c>
      <c r="Y144" s="17">
        <f>COUNTIF('261021'!$C$18:$C$47,$C144)+COUNTIF('261021'!$I$18:$I$47,$C144)</f>
        <v>0</v>
      </c>
      <c r="Z144" s="17">
        <f>COUNTIF('261022'!$C$18:$C$47,$C144)+COUNTIF('261022'!$I$18:$I$47,$C144)</f>
        <v>0</v>
      </c>
      <c r="AA144" s="17">
        <f>COUNTIF('261023'!$C$18:$C$47,$C144)+COUNTIF('261023'!$I$18:$I$47,$C144)</f>
        <v>0</v>
      </c>
      <c r="AB144" s="17">
        <f>COUNTIF('261024'!$C$18:$C$47,$C144)+COUNTIF('261024'!$I$18:$I$47,$C144)</f>
        <v>0</v>
      </c>
      <c r="AC144" s="17">
        <f>COUNTIF('261025'!$C$18:$C$47,$C144)+COUNTIF('261025'!$I$18:$I$47,$C144)</f>
        <v>0</v>
      </c>
      <c r="AD144" s="17">
        <f>COUNTIF('261026'!$C$18:$C$47,$C144)+COUNTIF('261026'!$I$18:$I$47,$C144)</f>
        <v>0</v>
      </c>
      <c r="AE144" s="17">
        <f>COUNTIF('261027'!$C$18:$C$47,$C144)+COUNTIF('261027'!$I$18:$I$47,$C144)</f>
        <v>0</v>
      </c>
      <c r="AF144" s="17">
        <f>COUNTIF('261028'!$C$18:$C$47,$C144)+COUNTIF('261028'!$I$18:$I$47,$C144)</f>
        <v>0</v>
      </c>
      <c r="AG144" s="17">
        <f>COUNTIF('261029'!$C$18:$C$47,$C144)+COUNTIF('261029'!$I$18:$I$47,$C144)</f>
        <v>0</v>
      </c>
      <c r="AH144" s="17">
        <f>COUNTIF('261030'!$C$18:$C$47,$C144)+COUNTIF('261030'!$I$18:$I$47,$C144)</f>
        <v>0</v>
      </c>
      <c r="AI144" s="17">
        <f>COUNTIF('261031'!$C$18:$C$47,$C144)+COUNTIF('261031'!$I$18:$I$47,$C144)</f>
        <v>0</v>
      </c>
      <c r="AJ144" s="52">
        <f t="shared" si="5"/>
        <v>0</v>
      </c>
      <c r="AL144" s="16"/>
      <c r="AM144" s="16"/>
    </row>
    <row r="145" spans="2:39" ht="20.100000000000001" customHeight="1" x14ac:dyDescent="0.3">
      <c r="B145" s="36">
        <f t="shared" si="6"/>
        <v>141</v>
      </c>
      <c r="C145" s="19"/>
      <c r="D145" s="19"/>
      <c r="E145" s="17">
        <f>COUNTIF('261001'!$C$18:$C$47,$C145)+COUNTIF('261001'!$I$18:$I$47,$C145)</f>
        <v>0</v>
      </c>
      <c r="F145" s="17">
        <f>COUNTIF('261002'!$C$18:$C$47,$C145)+COUNTIF('261002'!$I$18:$I$47,$C145)</f>
        <v>0</v>
      </c>
      <c r="G145" s="17">
        <f>COUNTIF('261003'!$C$18:$C$47,$C145)+COUNTIF('261003'!$I$18:$I$47,$C145)</f>
        <v>0</v>
      </c>
      <c r="H145" s="17">
        <f>COUNTIF('261004'!$C$18:$C$47,$C145)+COUNTIF('261004'!$I$18:$I$47,$C145)</f>
        <v>0</v>
      </c>
      <c r="I145" s="17">
        <f>COUNTIF('261005'!$C$18:$C$47,$C145)+COUNTIF('261005'!$I$18:$I$47,$C145)</f>
        <v>0</v>
      </c>
      <c r="J145" s="17">
        <f>COUNTIF('261006'!$C$18:$C$47,$C145)+COUNTIF('261006'!$I$18:$I$47,$C145)</f>
        <v>0</v>
      </c>
      <c r="K145" s="17">
        <f>COUNTIF('261007'!$C$18:$C$47,$C145)+COUNTIF('261007'!$I$18:$I$47,$C145)</f>
        <v>0</v>
      </c>
      <c r="L145" s="17">
        <f>COUNTIF('261008'!$C$18:$C$47,$C145)+COUNTIF('261008'!$I$18:$I$47,$C145)</f>
        <v>0</v>
      </c>
      <c r="M145" s="17">
        <f>COUNTIF('261009'!$C$18:$C$47,$C145)+COUNTIF('261009'!$I$18:$I$47,$C145)</f>
        <v>0</v>
      </c>
      <c r="N145" s="17">
        <f>COUNTIF('261010'!$C$18:$C$47,$C145)+COUNTIF('261010'!$I$18:$I$47,$C145)</f>
        <v>0</v>
      </c>
      <c r="O145" s="17">
        <f>COUNTIF('261011'!$C$18:$C$47,$C145)+COUNTIF('261011'!$I$18:$I$47,$C145)</f>
        <v>0</v>
      </c>
      <c r="P145" s="17">
        <f>COUNTIF('261012'!$C$18:$C$47,$C145)+COUNTIF('261012'!$I$18:$I$47,$C145)</f>
        <v>0</v>
      </c>
      <c r="Q145" s="17">
        <f>COUNTIF('261013'!$C$18:$C$47,$C145)+COUNTIF('261013'!$I$18:$I$47,$C145)</f>
        <v>0</v>
      </c>
      <c r="R145" s="17">
        <f>COUNTIF('261014'!$C$18:$C$47,$C145)+COUNTIF('261014'!$I$18:$I$47,$C145)</f>
        <v>0</v>
      </c>
      <c r="S145" s="17">
        <f>COUNTIF('261015'!$C$18:$C$47,$C145)+COUNTIF('261015'!$I$18:$I$47,$C145)</f>
        <v>0</v>
      </c>
      <c r="T145" s="17">
        <f>COUNTIF('261016'!$C$18:$C$47,$C145)+COUNTIF('261016'!$I$18:$I$47,$C145)</f>
        <v>0</v>
      </c>
      <c r="U145" s="17">
        <f>COUNTIF('261017'!$C$18:$C$47,$C145)+COUNTIF('261017'!$I$18:$I$47,$C145)</f>
        <v>0</v>
      </c>
      <c r="V145" s="17">
        <f>COUNTIF('261018'!$C$18:$C$47,$C145)+COUNTIF('261018'!$I$18:$I$47,$C145)</f>
        <v>0</v>
      </c>
      <c r="W145" s="17">
        <f>COUNTIF('261019'!$C$18:$C$47,$C145)+COUNTIF('261019'!$I$18:$I$47,$C145)</f>
        <v>0</v>
      </c>
      <c r="X145" s="17">
        <f>COUNTIF('261020'!$C$18:$C$47,$C145)+COUNTIF('261020'!$I$18:$I$47,$C145)</f>
        <v>0</v>
      </c>
      <c r="Y145" s="17">
        <f>COUNTIF('261021'!$C$18:$C$47,$C145)+COUNTIF('261021'!$I$18:$I$47,$C145)</f>
        <v>0</v>
      </c>
      <c r="Z145" s="17">
        <f>COUNTIF('261022'!$C$18:$C$47,$C145)+COUNTIF('261022'!$I$18:$I$47,$C145)</f>
        <v>0</v>
      </c>
      <c r="AA145" s="17">
        <f>COUNTIF('261023'!$C$18:$C$47,$C145)+COUNTIF('261023'!$I$18:$I$47,$C145)</f>
        <v>0</v>
      </c>
      <c r="AB145" s="17">
        <f>COUNTIF('261024'!$C$18:$C$47,$C145)+COUNTIF('261024'!$I$18:$I$47,$C145)</f>
        <v>0</v>
      </c>
      <c r="AC145" s="17">
        <f>COUNTIF('261025'!$C$18:$C$47,$C145)+COUNTIF('261025'!$I$18:$I$47,$C145)</f>
        <v>0</v>
      </c>
      <c r="AD145" s="17">
        <f>COUNTIF('261026'!$C$18:$C$47,$C145)+COUNTIF('261026'!$I$18:$I$47,$C145)</f>
        <v>0</v>
      </c>
      <c r="AE145" s="17">
        <f>COUNTIF('261027'!$C$18:$C$47,$C145)+COUNTIF('261027'!$I$18:$I$47,$C145)</f>
        <v>0</v>
      </c>
      <c r="AF145" s="17">
        <f>COUNTIF('261028'!$C$18:$C$47,$C145)+COUNTIF('261028'!$I$18:$I$47,$C145)</f>
        <v>0</v>
      </c>
      <c r="AG145" s="17">
        <f>COUNTIF('261029'!$C$18:$C$47,$C145)+COUNTIF('261029'!$I$18:$I$47,$C145)</f>
        <v>0</v>
      </c>
      <c r="AH145" s="17">
        <f>COUNTIF('261030'!$C$18:$C$47,$C145)+COUNTIF('261030'!$I$18:$I$47,$C145)</f>
        <v>0</v>
      </c>
      <c r="AI145" s="17">
        <f>COUNTIF('261031'!$C$18:$C$47,$C145)+COUNTIF('261031'!$I$18:$I$47,$C145)</f>
        <v>0</v>
      </c>
      <c r="AJ145" s="52">
        <f t="shared" si="5"/>
        <v>0</v>
      </c>
      <c r="AL145" s="16"/>
      <c r="AM145" s="16"/>
    </row>
    <row r="146" spans="2:39" ht="20.100000000000001" customHeight="1" x14ac:dyDescent="0.3">
      <c r="B146" s="36">
        <f t="shared" si="6"/>
        <v>142</v>
      </c>
      <c r="C146" s="19"/>
      <c r="D146" s="19"/>
      <c r="E146" s="17">
        <f>COUNTIF('261001'!$C$18:$C$47,$C146)+COUNTIF('261001'!$I$18:$I$47,$C146)</f>
        <v>0</v>
      </c>
      <c r="F146" s="17">
        <f>COUNTIF('261002'!$C$18:$C$47,$C146)+COUNTIF('261002'!$I$18:$I$47,$C146)</f>
        <v>0</v>
      </c>
      <c r="G146" s="17">
        <f>COUNTIF('261003'!$C$18:$C$47,$C146)+COUNTIF('261003'!$I$18:$I$47,$C146)</f>
        <v>0</v>
      </c>
      <c r="H146" s="17">
        <f>COUNTIF('261004'!$C$18:$C$47,$C146)+COUNTIF('261004'!$I$18:$I$47,$C146)</f>
        <v>0</v>
      </c>
      <c r="I146" s="17">
        <f>COUNTIF('261005'!$C$18:$C$47,$C146)+COUNTIF('261005'!$I$18:$I$47,$C146)</f>
        <v>0</v>
      </c>
      <c r="J146" s="17">
        <f>COUNTIF('261006'!$C$18:$C$47,$C146)+COUNTIF('261006'!$I$18:$I$47,$C146)</f>
        <v>0</v>
      </c>
      <c r="K146" s="17">
        <f>COUNTIF('261007'!$C$18:$C$47,$C146)+COUNTIF('261007'!$I$18:$I$47,$C146)</f>
        <v>0</v>
      </c>
      <c r="L146" s="17">
        <f>COUNTIF('261008'!$C$18:$C$47,$C146)+COUNTIF('261008'!$I$18:$I$47,$C146)</f>
        <v>0</v>
      </c>
      <c r="M146" s="17">
        <f>COUNTIF('261009'!$C$18:$C$47,$C146)+COUNTIF('261009'!$I$18:$I$47,$C146)</f>
        <v>0</v>
      </c>
      <c r="N146" s="17">
        <f>COUNTIF('261010'!$C$18:$C$47,$C146)+COUNTIF('261010'!$I$18:$I$47,$C146)</f>
        <v>0</v>
      </c>
      <c r="O146" s="17">
        <f>COUNTIF('261011'!$C$18:$C$47,$C146)+COUNTIF('261011'!$I$18:$I$47,$C146)</f>
        <v>0</v>
      </c>
      <c r="P146" s="17">
        <f>COUNTIF('261012'!$C$18:$C$47,$C146)+COUNTIF('261012'!$I$18:$I$47,$C146)</f>
        <v>0</v>
      </c>
      <c r="Q146" s="17">
        <f>COUNTIF('261013'!$C$18:$C$47,$C146)+COUNTIF('261013'!$I$18:$I$47,$C146)</f>
        <v>0</v>
      </c>
      <c r="R146" s="17">
        <f>COUNTIF('261014'!$C$18:$C$47,$C146)+COUNTIF('261014'!$I$18:$I$47,$C146)</f>
        <v>0</v>
      </c>
      <c r="S146" s="17">
        <f>COUNTIF('261015'!$C$18:$C$47,$C146)+COUNTIF('261015'!$I$18:$I$47,$C146)</f>
        <v>0</v>
      </c>
      <c r="T146" s="17">
        <f>COUNTIF('261016'!$C$18:$C$47,$C146)+COUNTIF('261016'!$I$18:$I$47,$C146)</f>
        <v>0</v>
      </c>
      <c r="U146" s="17">
        <f>COUNTIF('261017'!$C$18:$C$47,$C146)+COUNTIF('261017'!$I$18:$I$47,$C146)</f>
        <v>0</v>
      </c>
      <c r="V146" s="17">
        <f>COUNTIF('261018'!$C$18:$C$47,$C146)+COUNTIF('261018'!$I$18:$I$47,$C146)</f>
        <v>0</v>
      </c>
      <c r="W146" s="17">
        <f>COUNTIF('261019'!$C$18:$C$47,$C146)+COUNTIF('261019'!$I$18:$I$47,$C146)</f>
        <v>0</v>
      </c>
      <c r="X146" s="17">
        <f>COUNTIF('261020'!$C$18:$C$47,$C146)+COUNTIF('261020'!$I$18:$I$47,$C146)</f>
        <v>0</v>
      </c>
      <c r="Y146" s="17">
        <f>COUNTIF('261021'!$C$18:$C$47,$C146)+COUNTIF('261021'!$I$18:$I$47,$C146)</f>
        <v>0</v>
      </c>
      <c r="Z146" s="17">
        <f>COUNTIF('261022'!$C$18:$C$47,$C146)+COUNTIF('261022'!$I$18:$I$47,$C146)</f>
        <v>0</v>
      </c>
      <c r="AA146" s="17">
        <f>COUNTIF('261023'!$C$18:$C$47,$C146)+COUNTIF('261023'!$I$18:$I$47,$C146)</f>
        <v>0</v>
      </c>
      <c r="AB146" s="17">
        <f>COUNTIF('261024'!$C$18:$C$47,$C146)+COUNTIF('261024'!$I$18:$I$47,$C146)</f>
        <v>0</v>
      </c>
      <c r="AC146" s="17">
        <f>COUNTIF('261025'!$C$18:$C$47,$C146)+COUNTIF('261025'!$I$18:$I$47,$C146)</f>
        <v>0</v>
      </c>
      <c r="AD146" s="17">
        <f>COUNTIF('261026'!$C$18:$C$47,$C146)+COUNTIF('261026'!$I$18:$I$47,$C146)</f>
        <v>0</v>
      </c>
      <c r="AE146" s="17">
        <f>COUNTIF('261027'!$C$18:$C$47,$C146)+COUNTIF('261027'!$I$18:$I$47,$C146)</f>
        <v>0</v>
      </c>
      <c r="AF146" s="17">
        <f>COUNTIF('261028'!$C$18:$C$47,$C146)+COUNTIF('261028'!$I$18:$I$47,$C146)</f>
        <v>0</v>
      </c>
      <c r="AG146" s="17">
        <f>COUNTIF('261029'!$C$18:$C$47,$C146)+COUNTIF('261029'!$I$18:$I$47,$C146)</f>
        <v>0</v>
      </c>
      <c r="AH146" s="17">
        <f>COUNTIF('261030'!$C$18:$C$47,$C146)+COUNTIF('261030'!$I$18:$I$47,$C146)</f>
        <v>0</v>
      </c>
      <c r="AI146" s="17">
        <f>COUNTIF('261031'!$C$18:$C$47,$C146)+COUNTIF('261031'!$I$18:$I$47,$C146)</f>
        <v>0</v>
      </c>
      <c r="AJ146" s="52">
        <f t="shared" ref="AJ146:AJ163" si="7">SUM(E146:AI146)</f>
        <v>0</v>
      </c>
      <c r="AL146" s="16"/>
      <c r="AM146" s="16"/>
    </row>
    <row r="147" spans="2:39" ht="20.100000000000001" customHeight="1" x14ac:dyDescent="0.3">
      <c r="B147" s="36">
        <f t="shared" si="6"/>
        <v>143</v>
      </c>
      <c r="C147" s="19"/>
      <c r="D147" s="19"/>
      <c r="E147" s="17">
        <f>COUNTIF('261001'!$C$18:$C$47,$C147)+COUNTIF('261001'!$I$18:$I$47,$C147)</f>
        <v>0</v>
      </c>
      <c r="F147" s="17">
        <f>COUNTIF('261002'!$C$18:$C$47,$C147)+COUNTIF('261002'!$I$18:$I$47,$C147)</f>
        <v>0</v>
      </c>
      <c r="G147" s="17">
        <f>COUNTIF('261003'!$C$18:$C$47,$C147)+COUNTIF('261003'!$I$18:$I$47,$C147)</f>
        <v>0</v>
      </c>
      <c r="H147" s="17">
        <f>COUNTIF('261004'!$C$18:$C$47,$C147)+COUNTIF('261004'!$I$18:$I$47,$C147)</f>
        <v>0</v>
      </c>
      <c r="I147" s="17">
        <f>COUNTIF('261005'!$C$18:$C$47,$C147)+COUNTIF('261005'!$I$18:$I$47,$C147)</f>
        <v>0</v>
      </c>
      <c r="J147" s="17">
        <f>COUNTIF('261006'!$C$18:$C$47,$C147)+COUNTIF('261006'!$I$18:$I$47,$C147)</f>
        <v>0</v>
      </c>
      <c r="K147" s="17">
        <f>COUNTIF('261007'!$C$18:$C$47,$C147)+COUNTIF('261007'!$I$18:$I$47,$C147)</f>
        <v>0</v>
      </c>
      <c r="L147" s="17">
        <f>COUNTIF('261008'!$C$18:$C$47,$C147)+COUNTIF('261008'!$I$18:$I$47,$C147)</f>
        <v>0</v>
      </c>
      <c r="M147" s="17">
        <f>COUNTIF('261009'!$C$18:$C$47,$C147)+COUNTIF('261009'!$I$18:$I$47,$C147)</f>
        <v>0</v>
      </c>
      <c r="N147" s="17">
        <f>COUNTIF('261010'!$C$18:$C$47,$C147)+COUNTIF('261010'!$I$18:$I$47,$C147)</f>
        <v>0</v>
      </c>
      <c r="O147" s="17">
        <f>COUNTIF('261011'!$C$18:$C$47,$C147)+COUNTIF('261011'!$I$18:$I$47,$C147)</f>
        <v>0</v>
      </c>
      <c r="P147" s="17">
        <f>COUNTIF('261012'!$C$18:$C$47,$C147)+COUNTIF('261012'!$I$18:$I$47,$C147)</f>
        <v>0</v>
      </c>
      <c r="Q147" s="17">
        <f>COUNTIF('261013'!$C$18:$C$47,$C147)+COUNTIF('261013'!$I$18:$I$47,$C147)</f>
        <v>0</v>
      </c>
      <c r="R147" s="17">
        <f>COUNTIF('261014'!$C$18:$C$47,$C147)+COUNTIF('261014'!$I$18:$I$47,$C147)</f>
        <v>0</v>
      </c>
      <c r="S147" s="17">
        <f>COUNTIF('261015'!$C$18:$C$47,$C147)+COUNTIF('261015'!$I$18:$I$47,$C147)</f>
        <v>0</v>
      </c>
      <c r="T147" s="17">
        <f>COUNTIF('261016'!$C$18:$C$47,$C147)+COUNTIF('261016'!$I$18:$I$47,$C147)</f>
        <v>0</v>
      </c>
      <c r="U147" s="17">
        <f>COUNTIF('261017'!$C$18:$C$47,$C147)+COUNTIF('261017'!$I$18:$I$47,$C147)</f>
        <v>0</v>
      </c>
      <c r="V147" s="17">
        <f>COUNTIF('261018'!$C$18:$C$47,$C147)+COUNTIF('261018'!$I$18:$I$47,$C147)</f>
        <v>0</v>
      </c>
      <c r="W147" s="17">
        <f>COUNTIF('261019'!$C$18:$C$47,$C147)+COUNTIF('261019'!$I$18:$I$47,$C147)</f>
        <v>0</v>
      </c>
      <c r="X147" s="17">
        <f>COUNTIF('261020'!$C$18:$C$47,$C147)+COUNTIF('261020'!$I$18:$I$47,$C147)</f>
        <v>0</v>
      </c>
      <c r="Y147" s="17">
        <f>COUNTIF('261021'!$C$18:$C$47,$C147)+COUNTIF('261021'!$I$18:$I$47,$C147)</f>
        <v>0</v>
      </c>
      <c r="Z147" s="17">
        <f>COUNTIF('261022'!$C$18:$C$47,$C147)+COUNTIF('261022'!$I$18:$I$47,$C147)</f>
        <v>0</v>
      </c>
      <c r="AA147" s="17">
        <f>COUNTIF('261023'!$C$18:$C$47,$C147)+COUNTIF('261023'!$I$18:$I$47,$C147)</f>
        <v>0</v>
      </c>
      <c r="AB147" s="17">
        <f>COUNTIF('261024'!$C$18:$C$47,$C147)+COUNTIF('261024'!$I$18:$I$47,$C147)</f>
        <v>0</v>
      </c>
      <c r="AC147" s="17">
        <f>COUNTIF('261025'!$C$18:$C$47,$C147)+COUNTIF('261025'!$I$18:$I$47,$C147)</f>
        <v>0</v>
      </c>
      <c r="AD147" s="17">
        <f>COUNTIF('261026'!$C$18:$C$47,$C147)+COUNTIF('261026'!$I$18:$I$47,$C147)</f>
        <v>0</v>
      </c>
      <c r="AE147" s="17">
        <f>COUNTIF('261027'!$C$18:$C$47,$C147)+COUNTIF('261027'!$I$18:$I$47,$C147)</f>
        <v>0</v>
      </c>
      <c r="AF147" s="17">
        <f>COUNTIF('261028'!$C$18:$C$47,$C147)+COUNTIF('261028'!$I$18:$I$47,$C147)</f>
        <v>0</v>
      </c>
      <c r="AG147" s="17">
        <f>COUNTIF('261029'!$C$18:$C$47,$C147)+COUNTIF('261029'!$I$18:$I$47,$C147)</f>
        <v>0</v>
      </c>
      <c r="AH147" s="17">
        <f>COUNTIF('261030'!$C$18:$C$47,$C147)+COUNTIF('261030'!$I$18:$I$47,$C147)</f>
        <v>0</v>
      </c>
      <c r="AI147" s="17">
        <f>COUNTIF('261031'!$C$18:$C$47,$C147)+COUNTIF('261031'!$I$18:$I$47,$C147)</f>
        <v>0</v>
      </c>
      <c r="AJ147" s="52">
        <f t="shared" si="7"/>
        <v>0</v>
      </c>
      <c r="AL147" s="16"/>
      <c r="AM147" s="16"/>
    </row>
    <row r="148" spans="2:39" ht="20.100000000000001" customHeight="1" x14ac:dyDescent="0.3">
      <c r="B148" s="36">
        <f t="shared" si="6"/>
        <v>144</v>
      </c>
      <c r="C148" s="19"/>
      <c r="D148" s="19"/>
      <c r="E148" s="17">
        <f>COUNTIF('261001'!$C$18:$C$47,$C148)+COUNTIF('261001'!$I$18:$I$47,$C148)</f>
        <v>0</v>
      </c>
      <c r="F148" s="17">
        <f>COUNTIF('261002'!$C$18:$C$47,$C148)+COUNTIF('261002'!$I$18:$I$47,$C148)</f>
        <v>0</v>
      </c>
      <c r="G148" s="17">
        <f>COUNTIF('261003'!$C$18:$C$47,$C148)+COUNTIF('261003'!$I$18:$I$47,$C148)</f>
        <v>0</v>
      </c>
      <c r="H148" s="17">
        <f>COUNTIF('261004'!$C$18:$C$47,$C148)+COUNTIF('261004'!$I$18:$I$47,$C148)</f>
        <v>0</v>
      </c>
      <c r="I148" s="17">
        <f>COUNTIF('261005'!$C$18:$C$47,$C148)+COUNTIF('261005'!$I$18:$I$47,$C148)</f>
        <v>0</v>
      </c>
      <c r="J148" s="17">
        <f>COUNTIF('261006'!$C$18:$C$47,$C148)+COUNTIF('261006'!$I$18:$I$47,$C148)</f>
        <v>0</v>
      </c>
      <c r="K148" s="17">
        <f>COUNTIF('261007'!$C$18:$C$47,$C148)+COUNTIF('261007'!$I$18:$I$47,$C148)</f>
        <v>0</v>
      </c>
      <c r="L148" s="17">
        <f>COUNTIF('261008'!$C$18:$C$47,$C148)+COUNTIF('261008'!$I$18:$I$47,$C148)</f>
        <v>0</v>
      </c>
      <c r="M148" s="17">
        <f>COUNTIF('261009'!$C$18:$C$47,$C148)+COUNTIF('261009'!$I$18:$I$47,$C148)</f>
        <v>0</v>
      </c>
      <c r="N148" s="17">
        <f>COUNTIF('261010'!$C$18:$C$47,$C148)+COUNTIF('261010'!$I$18:$I$47,$C148)</f>
        <v>0</v>
      </c>
      <c r="O148" s="17">
        <f>COUNTIF('261011'!$C$18:$C$47,$C148)+COUNTIF('261011'!$I$18:$I$47,$C148)</f>
        <v>0</v>
      </c>
      <c r="P148" s="17">
        <f>COUNTIF('261012'!$C$18:$C$47,$C148)+COUNTIF('261012'!$I$18:$I$47,$C148)</f>
        <v>0</v>
      </c>
      <c r="Q148" s="17">
        <f>COUNTIF('261013'!$C$18:$C$47,$C148)+COUNTIF('261013'!$I$18:$I$47,$C148)</f>
        <v>0</v>
      </c>
      <c r="R148" s="17">
        <f>COUNTIF('261014'!$C$18:$C$47,$C148)+COUNTIF('261014'!$I$18:$I$47,$C148)</f>
        <v>0</v>
      </c>
      <c r="S148" s="17">
        <f>COUNTIF('261015'!$C$18:$C$47,$C148)+COUNTIF('261015'!$I$18:$I$47,$C148)</f>
        <v>0</v>
      </c>
      <c r="T148" s="17">
        <f>COUNTIF('261016'!$C$18:$C$47,$C148)+COUNTIF('261016'!$I$18:$I$47,$C148)</f>
        <v>0</v>
      </c>
      <c r="U148" s="17">
        <f>COUNTIF('261017'!$C$18:$C$47,$C148)+COUNTIF('261017'!$I$18:$I$47,$C148)</f>
        <v>0</v>
      </c>
      <c r="V148" s="17">
        <f>COUNTIF('261018'!$C$18:$C$47,$C148)+COUNTIF('261018'!$I$18:$I$47,$C148)</f>
        <v>0</v>
      </c>
      <c r="W148" s="17">
        <f>COUNTIF('261019'!$C$18:$C$47,$C148)+COUNTIF('261019'!$I$18:$I$47,$C148)</f>
        <v>0</v>
      </c>
      <c r="X148" s="17">
        <f>COUNTIF('261020'!$C$18:$C$47,$C148)+COUNTIF('261020'!$I$18:$I$47,$C148)</f>
        <v>0</v>
      </c>
      <c r="Y148" s="17">
        <f>COUNTIF('261021'!$C$18:$C$47,$C148)+COUNTIF('261021'!$I$18:$I$47,$C148)</f>
        <v>0</v>
      </c>
      <c r="Z148" s="17">
        <f>COUNTIF('261022'!$C$18:$C$47,$C148)+COUNTIF('261022'!$I$18:$I$47,$C148)</f>
        <v>0</v>
      </c>
      <c r="AA148" s="17">
        <f>COUNTIF('261023'!$C$18:$C$47,$C148)+COUNTIF('261023'!$I$18:$I$47,$C148)</f>
        <v>0</v>
      </c>
      <c r="AB148" s="17">
        <f>COUNTIF('261024'!$C$18:$C$47,$C148)+COUNTIF('261024'!$I$18:$I$47,$C148)</f>
        <v>0</v>
      </c>
      <c r="AC148" s="17">
        <f>COUNTIF('261025'!$C$18:$C$47,$C148)+COUNTIF('261025'!$I$18:$I$47,$C148)</f>
        <v>0</v>
      </c>
      <c r="AD148" s="17">
        <f>COUNTIF('261026'!$C$18:$C$47,$C148)+COUNTIF('261026'!$I$18:$I$47,$C148)</f>
        <v>0</v>
      </c>
      <c r="AE148" s="17">
        <f>COUNTIF('261027'!$C$18:$C$47,$C148)+COUNTIF('261027'!$I$18:$I$47,$C148)</f>
        <v>0</v>
      </c>
      <c r="AF148" s="17">
        <f>COUNTIF('261028'!$C$18:$C$47,$C148)+COUNTIF('261028'!$I$18:$I$47,$C148)</f>
        <v>0</v>
      </c>
      <c r="AG148" s="17">
        <f>COUNTIF('261029'!$C$18:$C$47,$C148)+COUNTIF('261029'!$I$18:$I$47,$C148)</f>
        <v>0</v>
      </c>
      <c r="AH148" s="17">
        <f>COUNTIF('261030'!$C$18:$C$47,$C148)+COUNTIF('261030'!$I$18:$I$47,$C148)</f>
        <v>0</v>
      </c>
      <c r="AI148" s="17">
        <f>COUNTIF('261031'!$C$18:$C$47,$C148)+COUNTIF('261031'!$I$18:$I$47,$C148)</f>
        <v>0</v>
      </c>
      <c r="AJ148" s="52">
        <f t="shared" si="7"/>
        <v>0</v>
      </c>
      <c r="AL148" s="16"/>
      <c r="AM148" s="16"/>
    </row>
    <row r="149" spans="2:39" ht="20.100000000000001" customHeight="1" x14ac:dyDescent="0.3">
      <c r="B149" s="36">
        <f t="shared" si="6"/>
        <v>145</v>
      </c>
      <c r="C149" s="19"/>
      <c r="D149" s="19"/>
      <c r="E149" s="17">
        <f>COUNTIF('261001'!$C$18:$C$47,$C149)+COUNTIF('261001'!$I$18:$I$47,$C149)</f>
        <v>0</v>
      </c>
      <c r="F149" s="17">
        <f>COUNTIF('261002'!$C$18:$C$47,$C149)+COUNTIF('261002'!$I$18:$I$47,$C149)</f>
        <v>0</v>
      </c>
      <c r="G149" s="17">
        <f>COUNTIF('261003'!$C$18:$C$47,$C149)+COUNTIF('261003'!$I$18:$I$47,$C149)</f>
        <v>0</v>
      </c>
      <c r="H149" s="17">
        <f>COUNTIF('261004'!$C$18:$C$47,$C149)+COUNTIF('261004'!$I$18:$I$47,$C149)</f>
        <v>0</v>
      </c>
      <c r="I149" s="17">
        <f>COUNTIF('261005'!$C$18:$C$47,$C149)+COUNTIF('261005'!$I$18:$I$47,$C149)</f>
        <v>0</v>
      </c>
      <c r="J149" s="17">
        <f>COUNTIF('261006'!$C$18:$C$47,$C149)+COUNTIF('261006'!$I$18:$I$47,$C149)</f>
        <v>0</v>
      </c>
      <c r="K149" s="17">
        <f>COUNTIF('261007'!$C$18:$C$47,$C149)+COUNTIF('261007'!$I$18:$I$47,$C149)</f>
        <v>0</v>
      </c>
      <c r="L149" s="17">
        <f>COUNTIF('261008'!$C$18:$C$47,$C149)+COUNTIF('261008'!$I$18:$I$47,$C149)</f>
        <v>0</v>
      </c>
      <c r="M149" s="17">
        <f>COUNTIF('261009'!$C$18:$C$47,$C149)+COUNTIF('261009'!$I$18:$I$47,$C149)</f>
        <v>0</v>
      </c>
      <c r="N149" s="17">
        <f>COUNTIF('261010'!$C$18:$C$47,$C149)+COUNTIF('261010'!$I$18:$I$47,$C149)</f>
        <v>0</v>
      </c>
      <c r="O149" s="17">
        <f>COUNTIF('261011'!$C$18:$C$47,$C149)+COUNTIF('261011'!$I$18:$I$47,$C149)</f>
        <v>0</v>
      </c>
      <c r="P149" s="17">
        <f>COUNTIF('261012'!$C$18:$C$47,$C149)+COUNTIF('261012'!$I$18:$I$47,$C149)</f>
        <v>0</v>
      </c>
      <c r="Q149" s="17">
        <f>COUNTIF('261013'!$C$18:$C$47,$C149)+COUNTIF('261013'!$I$18:$I$47,$C149)</f>
        <v>0</v>
      </c>
      <c r="R149" s="17">
        <f>COUNTIF('261014'!$C$18:$C$47,$C149)+COUNTIF('261014'!$I$18:$I$47,$C149)</f>
        <v>0</v>
      </c>
      <c r="S149" s="17">
        <f>COUNTIF('261015'!$C$18:$C$47,$C149)+COUNTIF('261015'!$I$18:$I$47,$C149)</f>
        <v>0</v>
      </c>
      <c r="T149" s="17">
        <f>COUNTIF('261016'!$C$18:$C$47,$C149)+COUNTIF('261016'!$I$18:$I$47,$C149)</f>
        <v>0</v>
      </c>
      <c r="U149" s="17">
        <f>COUNTIF('261017'!$C$18:$C$47,$C149)+COUNTIF('261017'!$I$18:$I$47,$C149)</f>
        <v>0</v>
      </c>
      <c r="V149" s="17">
        <f>COUNTIF('261018'!$C$18:$C$47,$C149)+COUNTIF('261018'!$I$18:$I$47,$C149)</f>
        <v>0</v>
      </c>
      <c r="W149" s="17">
        <f>COUNTIF('261019'!$C$18:$C$47,$C149)+COUNTIF('261019'!$I$18:$I$47,$C149)</f>
        <v>0</v>
      </c>
      <c r="X149" s="17">
        <f>COUNTIF('261020'!$C$18:$C$47,$C149)+COUNTIF('261020'!$I$18:$I$47,$C149)</f>
        <v>0</v>
      </c>
      <c r="Y149" s="17">
        <f>COUNTIF('261021'!$C$18:$C$47,$C149)+COUNTIF('261021'!$I$18:$I$47,$C149)</f>
        <v>0</v>
      </c>
      <c r="Z149" s="17">
        <f>COUNTIF('261022'!$C$18:$C$47,$C149)+COUNTIF('261022'!$I$18:$I$47,$C149)</f>
        <v>0</v>
      </c>
      <c r="AA149" s="17">
        <f>COUNTIF('261023'!$C$18:$C$47,$C149)+COUNTIF('261023'!$I$18:$I$47,$C149)</f>
        <v>0</v>
      </c>
      <c r="AB149" s="17">
        <f>COUNTIF('261024'!$C$18:$C$47,$C149)+COUNTIF('261024'!$I$18:$I$47,$C149)</f>
        <v>0</v>
      </c>
      <c r="AC149" s="17">
        <f>COUNTIF('261025'!$C$18:$C$47,$C149)+COUNTIF('261025'!$I$18:$I$47,$C149)</f>
        <v>0</v>
      </c>
      <c r="AD149" s="17">
        <f>COUNTIF('261026'!$C$18:$C$47,$C149)+COUNTIF('261026'!$I$18:$I$47,$C149)</f>
        <v>0</v>
      </c>
      <c r="AE149" s="17">
        <f>COUNTIF('261027'!$C$18:$C$47,$C149)+COUNTIF('261027'!$I$18:$I$47,$C149)</f>
        <v>0</v>
      </c>
      <c r="AF149" s="17">
        <f>COUNTIF('261028'!$C$18:$C$47,$C149)+COUNTIF('261028'!$I$18:$I$47,$C149)</f>
        <v>0</v>
      </c>
      <c r="AG149" s="17">
        <f>COUNTIF('261029'!$C$18:$C$47,$C149)+COUNTIF('261029'!$I$18:$I$47,$C149)</f>
        <v>0</v>
      </c>
      <c r="AH149" s="17">
        <f>COUNTIF('261030'!$C$18:$C$47,$C149)+COUNTIF('261030'!$I$18:$I$47,$C149)</f>
        <v>0</v>
      </c>
      <c r="AI149" s="17">
        <f>COUNTIF('261031'!$C$18:$C$47,$C149)+COUNTIF('261031'!$I$18:$I$47,$C149)</f>
        <v>0</v>
      </c>
      <c r="AJ149" s="52">
        <f t="shared" si="7"/>
        <v>0</v>
      </c>
      <c r="AL149" s="16"/>
      <c r="AM149" s="16"/>
    </row>
    <row r="150" spans="2:39" ht="20.100000000000001" customHeight="1" x14ac:dyDescent="0.3">
      <c r="B150" s="36">
        <f t="shared" si="6"/>
        <v>146</v>
      </c>
      <c r="C150" s="19"/>
      <c r="D150" s="19"/>
      <c r="E150" s="17">
        <f>COUNTIF('261001'!$C$18:$C$47,$C150)+COUNTIF('261001'!$I$18:$I$47,$C150)</f>
        <v>0</v>
      </c>
      <c r="F150" s="17">
        <f>COUNTIF('261002'!$C$18:$C$47,$C150)+COUNTIF('261002'!$I$18:$I$47,$C150)</f>
        <v>0</v>
      </c>
      <c r="G150" s="17">
        <f>COUNTIF('261003'!$C$18:$C$47,$C150)+COUNTIF('261003'!$I$18:$I$47,$C150)</f>
        <v>0</v>
      </c>
      <c r="H150" s="17">
        <f>COUNTIF('261004'!$C$18:$C$47,$C150)+COUNTIF('261004'!$I$18:$I$47,$C150)</f>
        <v>0</v>
      </c>
      <c r="I150" s="17">
        <f>COUNTIF('261005'!$C$18:$C$47,$C150)+COUNTIF('261005'!$I$18:$I$47,$C150)</f>
        <v>0</v>
      </c>
      <c r="J150" s="17">
        <f>COUNTIF('261006'!$C$18:$C$47,$C150)+COUNTIF('261006'!$I$18:$I$47,$C150)</f>
        <v>0</v>
      </c>
      <c r="K150" s="17">
        <f>COUNTIF('261007'!$C$18:$C$47,$C150)+COUNTIF('261007'!$I$18:$I$47,$C150)</f>
        <v>0</v>
      </c>
      <c r="L150" s="17">
        <f>COUNTIF('261008'!$C$18:$C$47,$C150)+COUNTIF('261008'!$I$18:$I$47,$C150)</f>
        <v>0</v>
      </c>
      <c r="M150" s="17">
        <f>COUNTIF('261009'!$C$18:$C$47,$C150)+COUNTIF('261009'!$I$18:$I$47,$C150)</f>
        <v>0</v>
      </c>
      <c r="N150" s="17">
        <f>COUNTIF('261010'!$C$18:$C$47,$C150)+COUNTIF('261010'!$I$18:$I$47,$C150)</f>
        <v>0</v>
      </c>
      <c r="O150" s="17">
        <f>COUNTIF('261011'!$C$18:$C$47,$C150)+COUNTIF('261011'!$I$18:$I$47,$C150)</f>
        <v>0</v>
      </c>
      <c r="P150" s="17">
        <f>COUNTIF('261012'!$C$18:$C$47,$C150)+COUNTIF('261012'!$I$18:$I$47,$C150)</f>
        <v>0</v>
      </c>
      <c r="Q150" s="17">
        <f>COUNTIF('261013'!$C$18:$C$47,$C150)+COUNTIF('261013'!$I$18:$I$47,$C150)</f>
        <v>0</v>
      </c>
      <c r="R150" s="17">
        <f>COUNTIF('261014'!$C$18:$C$47,$C150)+COUNTIF('261014'!$I$18:$I$47,$C150)</f>
        <v>0</v>
      </c>
      <c r="S150" s="17">
        <f>COUNTIF('261015'!$C$18:$C$47,$C150)+COUNTIF('261015'!$I$18:$I$47,$C150)</f>
        <v>0</v>
      </c>
      <c r="T150" s="17">
        <f>COUNTIF('261016'!$C$18:$C$47,$C150)+COUNTIF('261016'!$I$18:$I$47,$C150)</f>
        <v>0</v>
      </c>
      <c r="U150" s="17">
        <f>COUNTIF('261017'!$C$18:$C$47,$C150)+COUNTIF('261017'!$I$18:$I$47,$C150)</f>
        <v>0</v>
      </c>
      <c r="V150" s="17">
        <f>COUNTIF('261018'!$C$18:$C$47,$C150)+COUNTIF('261018'!$I$18:$I$47,$C150)</f>
        <v>0</v>
      </c>
      <c r="W150" s="17">
        <f>COUNTIF('261019'!$C$18:$C$47,$C150)+COUNTIF('261019'!$I$18:$I$47,$C150)</f>
        <v>0</v>
      </c>
      <c r="X150" s="17">
        <f>COUNTIF('261020'!$C$18:$C$47,$C150)+COUNTIF('261020'!$I$18:$I$47,$C150)</f>
        <v>0</v>
      </c>
      <c r="Y150" s="17">
        <f>COUNTIF('261021'!$C$18:$C$47,$C150)+COUNTIF('261021'!$I$18:$I$47,$C150)</f>
        <v>0</v>
      </c>
      <c r="Z150" s="17">
        <f>COUNTIF('261022'!$C$18:$C$47,$C150)+COUNTIF('261022'!$I$18:$I$47,$C150)</f>
        <v>0</v>
      </c>
      <c r="AA150" s="17">
        <f>COUNTIF('261023'!$C$18:$C$47,$C150)+COUNTIF('261023'!$I$18:$I$47,$C150)</f>
        <v>0</v>
      </c>
      <c r="AB150" s="17">
        <f>COUNTIF('261024'!$C$18:$C$47,$C150)+COUNTIF('261024'!$I$18:$I$47,$C150)</f>
        <v>0</v>
      </c>
      <c r="AC150" s="17">
        <f>COUNTIF('261025'!$C$18:$C$47,$C150)+COUNTIF('261025'!$I$18:$I$47,$C150)</f>
        <v>0</v>
      </c>
      <c r="AD150" s="17">
        <f>COUNTIF('261026'!$C$18:$C$47,$C150)+COUNTIF('261026'!$I$18:$I$47,$C150)</f>
        <v>0</v>
      </c>
      <c r="AE150" s="17">
        <f>COUNTIF('261027'!$C$18:$C$47,$C150)+COUNTIF('261027'!$I$18:$I$47,$C150)</f>
        <v>0</v>
      </c>
      <c r="AF150" s="17">
        <f>COUNTIF('261028'!$C$18:$C$47,$C150)+COUNTIF('261028'!$I$18:$I$47,$C150)</f>
        <v>0</v>
      </c>
      <c r="AG150" s="17">
        <f>COUNTIF('261029'!$C$18:$C$47,$C150)+COUNTIF('261029'!$I$18:$I$47,$C150)</f>
        <v>0</v>
      </c>
      <c r="AH150" s="17">
        <f>COUNTIF('261030'!$C$18:$C$47,$C150)+COUNTIF('261030'!$I$18:$I$47,$C150)</f>
        <v>0</v>
      </c>
      <c r="AI150" s="17">
        <f>COUNTIF('261031'!$C$18:$C$47,$C150)+COUNTIF('261031'!$I$18:$I$47,$C150)</f>
        <v>0</v>
      </c>
      <c r="AJ150" s="52">
        <f t="shared" si="7"/>
        <v>0</v>
      </c>
      <c r="AL150" s="16"/>
      <c r="AM150" s="16"/>
    </row>
    <row r="151" spans="2:39" ht="20.100000000000001" customHeight="1" x14ac:dyDescent="0.3">
      <c r="B151" s="36">
        <f t="shared" si="6"/>
        <v>147</v>
      </c>
      <c r="C151" s="19"/>
      <c r="D151" s="19"/>
      <c r="E151" s="17">
        <f>COUNTIF('261001'!$C$18:$C$47,$C151)+COUNTIF('261001'!$I$18:$I$47,$C151)</f>
        <v>0</v>
      </c>
      <c r="F151" s="17">
        <f>COUNTIF('261002'!$C$18:$C$47,$C151)+COUNTIF('261002'!$I$18:$I$47,$C151)</f>
        <v>0</v>
      </c>
      <c r="G151" s="17">
        <f>COUNTIF('261003'!$C$18:$C$47,$C151)+COUNTIF('261003'!$I$18:$I$47,$C151)</f>
        <v>0</v>
      </c>
      <c r="H151" s="17">
        <f>COUNTIF('261004'!$C$18:$C$47,$C151)+COUNTIF('261004'!$I$18:$I$47,$C151)</f>
        <v>0</v>
      </c>
      <c r="I151" s="17">
        <f>COUNTIF('261005'!$C$18:$C$47,$C151)+COUNTIF('261005'!$I$18:$I$47,$C151)</f>
        <v>0</v>
      </c>
      <c r="J151" s="17">
        <f>COUNTIF('261006'!$C$18:$C$47,$C151)+COUNTIF('261006'!$I$18:$I$47,$C151)</f>
        <v>0</v>
      </c>
      <c r="K151" s="17">
        <f>COUNTIF('261007'!$C$18:$C$47,$C151)+COUNTIF('261007'!$I$18:$I$47,$C151)</f>
        <v>0</v>
      </c>
      <c r="L151" s="17">
        <f>COUNTIF('261008'!$C$18:$C$47,$C151)+COUNTIF('261008'!$I$18:$I$47,$C151)</f>
        <v>0</v>
      </c>
      <c r="M151" s="17">
        <f>COUNTIF('261009'!$C$18:$C$47,$C151)+COUNTIF('261009'!$I$18:$I$47,$C151)</f>
        <v>0</v>
      </c>
      <c r="N151" s="17">
        <f>COUNTIF('261010'!$C$18:$C$47,$C151)+COUNTIF('261010'!$I$18:$I$47,$C151)</f>
        <v>0</v>
      </c>
      <c r="O151" s="17">
        <f>COUNTIF('261011'!$C$18:$C$47,$C151)+COUNTIF('261011'!$I$18:$I$47,$C151)</f>
        <v>0</v>
      </c>
      <c r="P151" s="17">
        <f>COUNTIF('261012'!$C$18:$C$47,$C151)+COUNTIF('261012'!$I$18:$I$47,$C151)</f>
        <v>0</v>
      </c>
      <c r="Q151" s="17">
        <f>COUNTIF('261013'!$C$18:$C$47,$C151)+COUNTIF('261013'!$I$18:$I$47,$C151)</f>
        <v>0</v>
      </c>
      <c r="R151" s="17">
        <f>COUNTIF('261014'!$C$18:$C$47,$C151)+COUNTIF('261014'!$I$18:$I$47,$C151)</f>
        <v>0</v>
      </c>
      <c r="S151" s="17">
        <f>COUNTIF('261015'!$C$18:$C$47,$C151)+COUNTIF('261015'!$I$18:$I$47,$C151)</f>
        <v>0</v>
      </c>
      <c r="T151" s="17">
        <f>COUNTIF('261016'!$C$18:$C$47,$C151)+COUNTIF('261016'!$I$18:$I$47,$C151)</f>
        <v>0</v>
      </c>
      <c r="U151" s="17">
        <f>COUNTIF('261017'!$C$18:$C$47,$C151)+COUNTIF('261017'!$I$18:$I$47,$C151)</f>
        <v>0</v>
      </c>
      <c r="V151" s="17">
        <f>COUNTIF('261018'!$C$18:$C$47,$C151)+COUNTIF('261018'!$I$18:$I$47,$C151)</f>
        <v>0</v>
      </c>
      <c r="W151" s="17">
        <f>COUNTIF('261019'!$C$18:$C$47,$C151)+COUNTIF('261019'!$I$18:$I$47,$C151)</f>
        <v>0</v>
      </c>
      <c r="X151" s="17">
        <f>COUNTIF('261020'!$C$18:$C$47,$C151)+COUNTIF('261020'!$I$18:$I$47,$C151)</f>
        <v>0</v>
      </c>
      <c r="Y151" s="17">
        <f>COUNTIF('261021'!$C$18:$C$47,$C151)+COUNTIF('261021'!$I$18:$I$47,$C151)</f>
        <v>0</v>
      </c>
      <c r="Z151" s="17">
        <f>COUNTIF('261022'!$C$18:$C$47,$C151)+COUNTIF('261022'!$I$18:$I$47,$C151)</f>
        <v>0</v>
      </c>
      <c r="AA151" s="17">
        <f>COUNTIF('261023'!$C$18:$C$47,$C151)+COUNTIF('261023'!$I$18:$I$47,$C151)</f>
        <v>0</v>
      </c>
      <c r="AB151" s="17">
        <f>COUNTIF('261024'!$C$18:$C$47,$C151)+COUNTIF('261024'!$I$18:$I$47,$C151)</f>
        <v>0</v>
      </c>
      <c r="AC151" s="17">
        <f>COUNTIF('261025'!$C$18:$C$47,$C151)+COUNTIF('261025'!$I$18:$I$47,$C151)</f>
        <v>0</v>
      </c>
      <c r="AD151" s="17">
        <f>COUNTIF('261026'!$C$18:$C$47,$C151)+COUNTIF('261026'!$I$18:$I$47,$C151)</f>
        <v>0</v>
      </c>
      <c r="AE151" s="17">
        <f>COUNTIF('261027'!$C$18:$C$47,$C151)+COUNTIF('261027'!$I$18:$I$47,$C151)</f>
        <v>0</v>
      </c>
      <c r="AF151" s="17">
        <f>COUNTIF('261028'!$C$18:$C$47,$C151)+COUNTIF('261028'!$I$18:$I$47,$C151)</f>
        <v>0</v>
      </c>
      <c r="AG151" s="17">
        <f>COUNTIF('261029'!$C$18:$C$47,$C151)+COUNTIF('261029'!$I$18:$I$47,$C151)</f>
        <v>0</v>
      </c>
      <c r="AH151" s="17">
        <f>COUNTIF('261030'!$C$18:$C$47,$C151)+COUNTIF('261030'!$I$18:$I$47,$C151)</f>
        <v>0</v>
      </c>
      <c r="AI151" s="17">
        <f>COUNTIF('261031'!$C$18:$C$47,$C151)+COUNTIF('261031'!$I$18:$I$47,$C151)</f>
        <v>0</v>
      </c>
      <c r="AJ151" s="52">
        <f t="shared" si="7"/>
        <v>0</v>
      </c>
      <c r="AL151" s="16"/>
      <c r="AM151" s="16"/>
    </row>
    <row r="152" spans="2:39" ht="20.100000000000001" customHeight="1" x14ac:dyDescent="0.3">
      <c r="B152" s="36">
        <f t="shared" si="6"/>
        <v>148</v>
      </c>
      <c r="C152" s="19"/>
      <c r="D152" s="19"/>
      <c r="E152" s="17">
        <f>COUNTIF('261001'!$C$18:$C$47,$C152)+COUNTIF('261001'!$I$18:$I$47,$C152)</f>
        <v>0</v>
      </c>
      <c r="F152" s="17">
        <f>COUNTIF('261002'!$C$18:$C$47,$C152)+COUNTIF('261002'!$I$18:$I$47,$C152)</f>
        <v>0</v>
      </c>
      <c r="G152" s="17">
        <f>COUNTIF('261003'!$C$18:$C$47,$C152)+COUNTIF('261003'!$I$18:$I$47,$C152)</f>
        <v>0</v>
      </c>
      <c r="H152" s="17">
        <f>COUNTIF('261004'!$C$18:$C$47,$C152)+COUNTIF('261004'!$I$18:$I$47,$C152)</f>
        <v>0</v>
      </c>
      <c r="I152" s="17">
        <f>COUNTIF('261005'!$C$18:$C$47,$C152)+COUNTIF('261005'!$I$18:$I$47,$C152)</f>
        <v>0</v>
      </c>
      <c r="J152" s="17">
        <f>COUNTIF('261006'!$C$18:$C$47,$C152)+COUNTIF('261006'!$I$18:$I$47,$C152)</f>
        <v>0</v>
      </c>
      <c r="K152" s="17">
        <f>COUNTIF('261007'!$C$18:$C$47,$C152)+COUNTIF('261007'!$I$18:$I$47,$C152)</f>
        <v>0</v>
      </c>
      <c r="L152" s="17">
        <f>COUNTIF('261008'!$C$18:$C$47,$C152)+COUNTIF('261008'!$I$18:$I$47,$C152)</f>
        <v>0</v>
      </c>
      <c r="M152" s="17">
        <f>COUNTIF('261009'!$C$18:$C$47,$C152)+COUNTIF('261009'!$I$18:$I$47,$C152)</f>
        <v>0</v>
      </c>
      <c r="N152" s="17">
        <f>COUNTIF('261010'!$C$18:$C$47,$C152)+COUNTIF('261010'!$I$18:$I$47,$C152)</f>
        <v>0</v>
      </c>
      <c r="O152" s="17">
        <f>COUNTIF('261011'!$C$18:$C$47,$C152)+COUNTIF('261011'!$I$18:$I$47,$C152)</f>
        <v>0</v>
      </c>
      <c r="P152" s="17">
        <f>COUNTIF('261012'!$C$18:$C$47,$C152)+COUNTIF('261012'!$I$18:$I$47,$C152)</f>
        <v>0</v>
      </c>
      <c r="Q152" s="17">
        <f>COUNTIF('261013'!$C$18:$C$47,$C152)+COUNTIF('261013'!$I$18:$I$47,$C152)</f>
        <v>0</v>
      </c>
      <c r="R152" s="17">
        <f>COUNTIF('261014'!$C$18:$C$47,$C152)+COUNTIF('261014'!$I$18:$I$47,$C152)</f>
        <v>0</v>
      </c>
      <c r="S152" s="17">
        <f>COUNTIF('261015'!$C$18:$C$47,$C152)+COUNTIF('261015'!$I$18:$I$47,$C152)</f>
        <v>0</v>
      </c>
      <c r="T152" s="17">
        <f>COUNTIF('261016'!$C$18:$C$47,$C152)+COUNTIF('261016'!$I$18:$I$47,$C152)</f>
        <v>0</v>
      </c>
      <c r="U152" s="17">
        <f>COUNTIF('261017'!$C$18:$C$47,$C152)+COUNTIF('261017'!$I$18:$I$47,$C152)</f>
        <v>0</v>
      </c>
      <c r="V152" s="17">
        <f>COUNTIF('261018'!$C$18:$C$47,$C152)+COUNTIF('261018'!$I$18:$I$47,$C152)</f>
        <v>0</v>
      </c>
      <c r="W152" s="17">
        <f>COUNTIF('261019'!$C$18:$C$47,$C152)+COUNTIF('261019'!$I$18:$I$47,$C152)</f>
        <v>0</v>
      </c>
      <c r="X152" s="17">
        <f>COUNTIF('261020'!$C$18:$C$47,$C152)+COUNTIF('261020'!$I$18:$I$47,$C152)</f>
        <v>0</v>
      </c>
      <c r="Y152" s="17">
        <f>COUNTIF('261021'!$C$18:$C$47,$C152)+COUNTIF('261021'!$I$18:$I$47,$C152)</f>
        <v>0</v>
      </c>
      <c r="Z152" s="17">
        <f>COUNTIF('261022'!$C$18:$C$47,$C152)+COUNTIF('261022'!$I$18:$I$47,$C152)</f>
        <v>0</v>
      </c>
      <c r="AA152" s="17">
        <f>COUNTIF('261023'!$C$18:$C$47,$C152)+COUNTIF('261023'!$I$18:$I$47,$C152)</f>
        <v>0</v>
      </c>
      <c r="AB152" s="17">
        <f>COUNTIF('261024'!$C$18:$C$47,$C152)+COUNTIF('261024'!$I$18:$I$47,$C152)</f>
        <v>0</v>
      </c>
      <c r="AC152" s="17">
        <f>COUNTIF('261025'!$C$18:$C$47,$C152)+COUNTIF('261025'!$I$18:$I$47,$C152)</f>
        <v>0</v>
      </c>
      <c r="AD152" s="17">
        <f>COUNTIF('261026'!$C$18:$C$47,$C152)+COUNTIF('261026'!$I$18:$I$47,$C152)</f>
        <v>0</v>
      </c>
      <c r="AE152" s="17">
        <f>COUNTIF('261027'!$C$18:$C$47,$C152)+COUNTIF('261027'!$I$18:$I$47,$C152)</f>
        <v>0</v>
      </c>
      <c r="AF152" s="17">
        <f>COUNTIF('261028'!$C$18:$C$47,$C152)+COUNTIF('261028'!$I$18:$I$47,$C152)</f>
        <v>0</v>
      </c>
      <c r="AG152" s="17">
        <f>COUNTIF('261029'!$C$18:$C$47,$C152)+COUNTIF('261029'!$I$18:$I$47,$C152)</f>
        <v>0</v>
      </c>
      <c r="AH152" s="17">
        <f>COUNTIF('261030'!$C$18:$C$47,$C152)+COUNTIF('261030'!$I$18:$I$47,$C152)</f>
        <v>0</v>
      </c>
      <c r="AI152" s="17">
        <f>COUNTIF('261031'!$C$18:$C$47,$C152)+COUNTIF('261031'!$I$18:$I$47,$C152)</f>
        <v>0</v>
      </c>
      <c r="AJ152" s="52">
        <f t="shared" si="7"/>
        <v>0</v>
      </c>
      <c r="AL152" s="16"/>
      <c r="AM152" s="16"/>
    </row>
    <row r="153" spans="2:39" ht="20.100000000000001" customHeight="1" x14ac:dyDescent="0.3">
      <c r="B153" s="36">
        <f t="shared" si="6"/>
        <v>149</v>
      </c>
      <c r="C153" s="19"/>
      <c r="D153" s="19"/>
      <c r="E153" s="17">
        <f>COUNTIF('261001'!$C$18:$C$47,$C153)+COUNTIF('261001'!$I$18:$I$47,$C153)</f>
        <v>0</v>
      </c>
      <c r="F153" s="17">
        <f>COUNTIF('261002'!$C$18:$C$47,$C153)+COUNTIF('261002'!$I$18:$I$47,$C153)</f>
        <v>0</v>
      </c>
      <c r="G153" s="17">
        <f>COUNTIF('261003'!$C$18:$C$47,$C153)+COUNTIF('261003'!$I$18:$I$47,$C153)</f>
        <v>0</v>
      </c>
      <c r="H153" s="17">
        <f>COUNTIF('261004'!$C$18:$C$47,$C153)+COUNTIF('261004'!$I$18:$I$47,$C153)</f>
        <v>0</v>
      </c>
      <c r="I153" s="17">
        <f>COUNTIF('261005'!$C$18:$C$47,$C153)+COUNTIF('261005'!$I$18:$I$47,$C153)</f>
        <v>0</v>
      </c>
      <c r="J153" s="17">
        <f>COUNTIF('261006'!$C$18:$C$47,$C153)+COUNTIF('261006'!$I$18:$I$47,$C153)</f>
        <v>0</v>
      </c>
      <c r="K153" s="17">
        <f>COUNTIF('261007'!$C$18:$C$47,$C153)+COUNTIF('261007'!$I$18:$I$47,$C153)</f>
        <v>0</v>
      </c>
      <c r="L153" s="17">
        <f>COUNTIF('261008'!$C$18:$C$47,$C153)+COUNTIF('261008'!$I$18:$I$47,$C153)</f>
        <v>0</v>
      </c>
      <c r="M153" s="17">
        <f>COUNTIF('261009'!$C$18:$C$47,$C153)+COUNTIF('261009'!$I$18:$I$47,$C153)</f>
        <v>0</v>
      </c>
      <c r="N153" s="17">
        <f>COUNTIF('261010'!$C$18:$C$47,$C153)+COUNTIF('261010'!$I$18:$I$47,$C153)</f>
        <v>0</v>
      </c>
      <c r="O153" s="17">
        <f>COUNTIF('261011'!$C$18:$C$47,$C153)+COUNTIF('261011'!$I$18:$I$47,$C153)</f>
        <v>0</v>
      </c>
      <c r="P153" s="17">
        <f>COUNTIF('261012'!$C$18:$C$47,$C153)+COUNTIF('261012'!$I$18:$I$47,$C153)</f>
        <v>0</v>
      </c>
      <c r="Q153" s="17">
        <f>COUNTIF('261013'!$C$18:$C$47,$C153)+COUNTIF('261013'!$I$18:$I$47,$C153)</f>
        <v>0</v>
      </c>
      <c r="R153" s="17">
        <f>COUNTIF('261014'!$C$18:$C$47,$C153)+COUNTIF('261014'!$I$18:$I$47,$C153)</f>
        <v>0</v>
      </c>
      <c r="S153" s="17">
        <f>COUNTIF('261015'!$C$18:$C$47,$C153)+COUNTIF('261015'!$I$18:$I$47,$C153)</f>
        <v>0</v>
      </c>
      <c r="T153" s="17">
        <f>COUNTIF('261016'!$C$18:$C$47,$C153)+COUNTIF('261016'!$I$18:$I$47,$C153)</f>
        <v>0</v>
      </c>
      <c r="U153" s="17">
        <f>COUNTIF('261017'!$C$18:$C$47,$C153)+COUNTIF('261017'!$I$18:$I$47,$C153)</f>
        <v>0</v>
      </c>
      <c r="V153" s="17">
        <f>COUNTIF('261018'!$C$18:$C$47,$C153)+COUNTIF('261018'!$I$18:$I$47,$C153)</f>
        <v>0</v>
      </c>
      <c r="W153" s="17">
        <f>COUNTIF('261019'!$C$18:$C$47,$C153)+COUNTIF('261019'!$I$18:$I$47,$C153)</f>
        <v>0</v>
      </c>
      <c r="X153" s="17">
        <f>COUNTIF('261020'!$C$18:$C$47,$C153)+COUNTIF('261020'!$I$18:$I$47,$C153)</f>
        <v>0</v>
      </c>
      <c r="Y153" s="17">
        <f>COUNTIF('261021'!$C$18:$C$47,$C153)+COUNTIF('261021'!$I$18:$I$47,$C153)</f>
        <v>0</v>
      </c>
      <c r="Z153" s="17">
        <f>COUNTIF('261022'!$C$18:$C$47,$C153)+COUNTIF('261022'!$I$18:$I$47,$C153)</f>
        <v>0</v>
      </c>
      <c r="AA153" s="17">
        <f>COUNTIF('261023'!$C$18:$C$47,$C153)+COUNTIF('261023'!$I$18:$I$47,$C153)</f>
        <v>0</v>
      </c>
      <c r="AB153" s="17">
        <f>COUNTIF('261024'!$C$18:$C$47,$C153)+COUNTIF('261024'!$I$18:$I$47,$C153)</f>
        <v>0</v>
      </c>
      <c r="AC153" s="17">
        <f>COUNTIF('261025'!$C$18:$C$47,$C153)+COUNTIF('261025'!$I$18:$I$47,$C153)</f>
        <v>0</v>
      </c>
      <c r="AD153" s="17">
        <f>COUNTIF('261026'!$C$18:$C$47,$C153)+COUNTIF('261026'!$I$18:$I$47,$C153)</f>
        <v>0</v>
      </c>
      <c r="AE153" s="17">
        <f>COUNTIF('261027'!$C$18:$C$47,$C153)+COUNTIF('261027'!$I$18:$I$47,$C153)</f>
        <v>0</v>
      </c>
      <c r="AF153" s="17">
        <f>COUNTIF('261028'!$C$18:$C$47,$C153)+COUNTIF('261028'!$I$18:$I$47,$C153)</f>
        <v>0</v>
      </c>
      <c r="AG153" s="17">
        <f>COUNTIF('261029'!$C$18:$C$47,$C153)+COUNTIF('261029'!$I$18:$I$47,$C153)</f>
        <v>0</v>
      </c>
      <c r="AH153" s="17">
        <f>COUNTIF('261030'!$C$18:$C$47,$C153)+COUNTIF('261030'!$I$18:$I$47,$C153)</f>
        <v>0</v>
      </c>
      <c r="AI153" s="17">
        <f>COUNTIF('261031'!$C$18:$C$47,$C153)+COUNTIF('261031'!$I$18:$I$47,$C153)</f>
        <v>0</v>
      </c>
      <c r="AJ153" s="52">
        <f t="shared" si="7"/>
        <v>0</v>
      </c>
      <c r="AL153" s="16"/>
      <c r="AM153" s="16"/>
    </row>
    <row r="154" spans="2:39" ht="20.100000000000001" customHeight="1" x14ac:dyDescent="0.3">
      <c r="B154" s="36">
        <f t="shared" si="6"/>
        <v>150</v>
      </c>
      <c r="C154" s="19"/>
      <c r="D154" s="19"/>
      <c r="E154" s="17">
        <f>COUNTIF('261001'!$C$18:$C$47,$C154)+COUNTIF('261001'!$I$18:$I$47,$C154)</f>
        <v>0</v>
      </c>
      <c r="F154" s="17">
        <f>COUNTIF('261002'!$C$18:$C$47,$C154)+COUNTIF('261002'!$I$18:$I$47,$C154)</f>
        <v>0</v>
      </c>
      <c r="G154" s="17">
        <f>COUNTIF('261003'!$C$18:$C$47,$C154)+COUNTIF('261003'!$I$18:$I$47,$C154)</f>
        <v>0</v>
      </c>
      <c r="H154" s="17">
        <f>COUNTIF('261004'!$C$18:$C$47,$C154)+COUNTIF('261004'!$I$18:$I$47,$C154)</f>
        <v>0</v>
      </c>
      <c r="I154" s="17">
        <f>COUNTIF('261005'!$C$18:$C$47,$C154)+COUNTIF('261005'!$I$18:$I$47,$C154)</f>
        <v>0</v>
      </c>
      <c r="J154" s="17">
        <f>COUNTIF('261006'!$C$18:$C$47,$C154)+COUNTIF('261006'!$I$18:$I$47,$C154)</f>
        <v>0</v>
      </c>
      <c r="K154" s="17">
        <f>COUNTIF('261007'!$C$18:$C$47,$C154)+COUNTIF('261007'!$I$18:$I$47,$C154)</f>
        <v>0</v>
      </c>
      <c r="L154" s="17">
        <f>COUNTIF('261008'!$C$18:$C$47,$C154)+COUNTIF('261008'!$I$18:$I$47,$C154)</f>
        <v>0</v>
      </c>
      <c r="M154" s="17">
        <f>COUNTIF('261009'!$C$18:$C$47,$C154)+COUNTIF('261009'!$I$18:$I$47,$C154)</f>
        <v>0</v>
      </c>
      <c r="N154" s="17">
        <f>COUNTIF('261010'!$C$18:$C$47,$C154)+COUNTIF('261010'!$I$18:$I$47,$C154)</f>
        <v>0</v>
      </c>
      <c r="O154" s="17">
        <f>COUNTIF('261011'!$C$18:$C$47,$C154)+COUNTIF('261011'!$I$18:$I$47,$C154)</f>
        <v>0</v>
      </c>
      <c r="P154" s="17">
        <f>COUNTIF('261012'!$C$18:$C$47,$C154)+COUNTIF('261012'!$I$18:$I$47,$C154)</f>
        <v>0</v>
      </c>
      <c r="Q154" s="17">
        <f>COUNTIF('261013'!$C$18:$C$47,$C154)+COUNTIF('261013'!$I$18:$I$47,$C154)</f>
        <v>0</v>
      </c>
      <c r="R154" s="17">
        <f>COUNTIF('261014'!$C$18:$C$47,$C154)+COUNTIF('261014'!$I$18:$I$47,$C154)</f>
        <v>0</v>
      </c>
      <c r="S154" s="17">
        <f>COUNTIF('261015'!$C$18:$C$47,$C154)+COUNTIF('261015'!$I$18:$I$47,$C154)</f>
        <v>0</v>
      </c>
      <c r="T154" s="17">
        <f>COUNTIF('261016'!$C$18:$C$47,$C154)+COUNTIF('261016'!$I$18:$I$47,$C154)</f>
        <v>0</v>
      </c>
      <c r="U154" s="17">
        <f>COUNTIF('261017'!$C$18:$C$47,$C154)+COUNTIF('261017'!$I$18:$I$47,$C154)</f>
        <v>0</v>
      </c>
      <c r="V154" s="17">
        <f>COUNTIF('261018'!$C$18:$C$47,$C154)+COUNTIF('261018'!$I$18:$I$47,$C154)</f>
        <v>0</v>
      </c>
      <c r="W154" s="17">
        <f>COUNTIF('261019'!$C$18:$C$47,$C154)+COUNTIF('261019'!$I$18:$I$47,$C154)</f>
        <v>0</v>
      </c>
      <c r="X154" s="17">
        <f>COUNTIF('261020'!$C$18:$C$47,$C154)+COUNTIF('261020'!$I$18:$I$47,$C154)</f>
        <v>0</v>
      </c>
      <c r="Y154" s="17">
        <f>COUNTIF('261021'!$C$18:$C$47,$C154)+COUNTIF('261021'!$I$18:$I$47,$C154)</f>
        <v>0</v>
      </c>
      <c r="Z154" s="17">
        <f>COUNTIF('261022'!$C$18:$C$47,$C154)+COUNTIF('261022'!$I$18:$I$47,$C154)</f>
        <v>0</v>
      </c>
      <c r="AA154" s="17">
        <f>COUNTIF('261023'!$C$18:$C$47,$C154)+COUNTIF('261023'!$I$18:$I$47,$C154)</f>
        <v>0</v>
      </c>
      <c r="AB154" s="17">
        <f>COUNTIF('261024'!$C$18:$C$47,$C154)+COUNTIF('261024'!$I$18:$I$47,$C154)</f>
        <v>0</v>
      </c>
      <c r="AC154" s="17">
        <f>COUNTIF('261025'!$C$18:$C$47,$C154)+COUNTIF('261025'!$I$18:$I$47,$C154)</f>
        <v>0</v>
      </c>
      <c r="AD154" s="17">
        <f>COUNTIF('261026'!$C$18:$C$47,$C154)+COUNTIF('261026'!$I$18:$I$47,$C154)</f>
        <v>0</v>
      </c>
      <c r="AE154" s="17">
        <f>COUNTIF('261027'!$C$18:$C$47,$C154)+COUNTIF('261027'!$I$18:$I$47,$C154)</f>
        <v>0</v>
      </c>
      <c r="AF154" s="17">
        <f>COUNTIF('261028'!$C$18:$C$47,$C154)+COUNTIF('261028'!$I$18:$I$47,$C154)</f>
        <v>0</v>
      </c>
      <c r="AG154" s="17">
        <f>COUNTIF('261029'!$C$18:$C$47,$C154)+COUNTIF('261029'!$I$18:$I$47,$C154)</f>
        <v>0</v>
      </c>
      <c r="AH154" s="17">
        <f>COUNTIF('261030'!$C$18:$C$47,$C154)+COUNTIF('261030'!$I$18:$I$47,$C154)</f>
        <v>0</v>
      </c>
      <c r="AI154" s="17">
        <f>COUNTIF('261031'!$C$18:$C$47,$C154)+COUNTIF('261031'!$I$18:$I$47,$C154)</f>
        <v>0</v>
      </c>
      <c r="AJ154" s="52">
        <f t="shared" si="7"/>
        <v>0</v>
      </c>
      <c r="AL154" s="16"/>
      <c r="AM154" s="16"/>
    </row>
    <row r="155" spans="2:39" ht="20.100000000000001" customHeight="1" x14ac:dyDescent="0.3">
      <c r="B155" s="36">
        <f t="shared" si="6"/>
        <v>151</v>
      </c>
      <c r="C155" s="19"/>
      <c r="D155" s="19"/>
      <c r="E155" s="17">
        <f>COUNTIF('261001'!$C$18:$C$47,$C155)+COUNTIF('261001'!$I$18:$I$47,$C155)</f>
        <v>0</v>
      </c>
      <c r="F155" s="17">
        <f>COUNTIF('261002'!$C$18:$C$47,$C155)+COUNTIF('261002'!$I$18:$I$47,$C155)</f>
        <v>0</v>
      </c>
      <c r="G155" s="17">
        <f>COUNTIF('261003'!$C$18:$C$47,$C155)+COUNTIF('261003'!$I$18:$I$47,$C155)</f>
        <v>0</v>
      </c>
      <c r="H155" s="17">
        <f>COUNTIF('261004'!$C$18:$C$47,$C155)+COUNTIF('261004'!$I$18:$I$47,$C155)</f>
        <v>0</v>
      </c>
      <c r="I155" s="17">
        <f>COUNTIF('261005'!$C$18:$C$47,$C155)+COUNTIF('261005'!$I$18:$I$47,$C155)</f>
        <v>0</v>
      </c>
      <c r="J155" s="17">
        <f>COUNTIF('261006'!$C$18:$C$47,$C155)+COUNTIF('261006'!$I$18:$I$47,$C155)</f>
        <v>0</v>
      </c>
      <c r="K155" s="17">
        <f>COUNTIF('261007'!$C$18:$C$47,$C155)+COUNTIF('261007'!$I$18:$I$47,$C155)</f>
        <v>0</v>
      </c>
      <c r="L155" s="17">
        <f>COUNTIF('261008'!$C$18:$C$47,$C155)+COUNTIF('261008'!$I$18:$I$47,$C155)</f>
        <v>0</v>
      </c>
      <c r="M155" s="17">
        <f>COUNTIF('261009'!$C$18:$C$47,$C155)+COUNTIF('261009'!$I$18:$I$47,$C155)</f>
        <v>0</v>
      </c>
      <c r="N155" s="17">
        <f>COUNTIF('261010'!$C$18:$C$47,$C155)+COUNTIF('261010'!$I$18:$I$47,$C155)</f>
        <v>0</v>
      </c>
      <c r="O155" s="17">
        <f>COUNTIF('261011'!$C$18:$C$47,$C155)+COUNTIF('261011'!$I$18:$I$47,$C155)</f>
        <v>0</v>
      </c>
      <c r="P155" s="17">
        <f>COUNTIF('261012'!$C$18:$C$47,$C155)+COUNTIF('261012'!$I$18:$I$47,$C155)</f>
        <v>0</v>
      </c>
      <c r="Q155" s="17">
        <f>COUNTIF('261013'!$C$18:$C$47,$C155)+COUNTIF('261013'!$I$18:$I$47,$C155)</f>
        <v>0</v>
      </c>
      <c r="R155" s="17">
        <f>COUNTIF('261014'!$C$18:$C$47,$C155)+COUNTIF('261014'!$I$18:$I$47,$C155)</f>
        <v>0</v>
      </c>
      <c r="S155" s="17">
        <f>COUNTIF('261015'!$C$18:$C$47,$C155)+COUNTIF('261015'!$I$18:$I$47,$C155)</f>
        <v>0</v>
      </c>
      <c r="T155" s="17">
        <f>COUNTIF('261016'!$C$18:$C$47,$C155)+COUNTIF('261016'!$I$18:$I$47,$C155)</f>
        <v>0</v>
      </c>
      <c r="U155" s="17">
        <f>COUNTIF('261017'!$C$18:$C$47,$C155)+COUNTIF('261017'!$I$18:$I$47,$C155)</f>
        <v>0</v>
      </c>
      <c r="V155" s="17">
        <f>COUNTIF('261018'!$C$18:$C$47,$C155)+COUNTIF('261018'!$I$18:$I$47,$C155)</f>
        <v>0</v>
      </c>
      <c r="W155" s="17">
        <f>COUNTIF('261019'!$C$18:$C$47,$C155)+COUNTIF('261019'!$I$18:$I$47,$C155)</f>
        <v>0</v>
      </c>
      <c r="X155" s="17">
        <f>COUNTIF('261020'!$C$18:$C$47,$C155)+COUNTIF('261020'!$I$18:$I$47,$C155)</f>
        <v>0</v>
      </c>
      <c r="Y155" s="17">
        <f>COUNTIF('261021'!$C$18:$C$47,$C155)+COUNTIF('261021'!$I$18:$I$47,$C155)</f>
        <v>0</v>
      </c>
      <c r="Z155" s="17">
        <f>COUNTIF('261022'!$C$18:$C$47,$C155)+COUNTIF('261022'!$I$18:$I$47,$C155)</f>
        <v>0</v>
      </c>
      <c r="AA155" s="17">
        <f>COUNTIF('261023'!$C$18:$C$47,$C155)+COUNTIF('261023'!$I$18:$I$47,$C155)</f>
        <v>0</v>
      </c>
      <c r="AB155" s="17">
        <f>COUNTIF('261024'!$C$18:$C$47,$C155)+COUNTIF('261024'!$I$18:$I$47,$C155)</f>
        <v>0</v>
      </c>
      <c r="AC155" s="17">
        <f>COUNTIF('261025'!$C$18:$C$47,$C155)+COUNTIF('261025'!$I$18:$I$47,$C155)</f>
        <v>0</v>
      </c>
      <c r="AD155" s="17">
        <f>COUNTIF('261026'!$C$18:$C$47,$C155)+COUNTIF('261026'!$I$18:$I$47,$C155)</f>
        <v>0</v>
      </c>
      <c r="AE155" s="17">
        <f>COUNTIF('261027'!$C$18:$C$47,$C155)+COUNTIF('261027'!$I$18:$I$47,$C155)</f>
        <v>0</v>
      </c>
      <c r="AF155" s="17">
        <f>COUNTIF('261028'!$C$18:$C$47,$C155)+COUNTIF('261028'!$I$18:$I$47,$C155)</f>
        <v>0</v>
      </c>
      <c r="AG155" s="17">
        <f>COUNTIF('261029'!$C$18:$C$47,$C155)+COUNTIF('261029'!$I$18:$I$47,$C155)</f>
        <v>0</v>
      </c>
      <c r="AH155" s="17">
        <f>COUNTIF('261030'!$C$18:$C$47,$C155)+COUNTIF('261030'!$I$18:$I$47,$C155)</f>
        <v>0</v>
      </c>
      <c r="AI155" s="17">
        <f>COUNTIF('261031'!$C$18:$C$47,$C155)+COUNTIF('261031'!$I$18:$I$47,$C155)</f>
        <v>0</v>
      </c>
      <c r="AJ155" s="52">
        <f t="shared" si="7"/>
        <v>0</v>
      </c>
      <c r="AL155" s="16"/>
      <c r="AM155" s="16"/>
    </row>
    <row r="156" spans="2:39" ht="20.100000000000001" customHeight="1" x14ac:dyDescent="0.3">
      <c r="B156" s="36">
        <f t="shared" si="6"/>
        <v>152</v>
      </c>
      <c r="C156" s="19"/>
      <c r="D156" s="19"/>
      <c r="E156" s="17">
        <f>COUNTIF('261001'!$C$18:$C$47,$C156)+COUNTIF('261001'!$I$18:$I$47,$C156)</f>
        <v>0</v>
      </c>
      <c r="F156" s="17">
        <f>COUNTIF('261002'!$C$18:$C$47,$C156)+COUNTIF('261002'!$I$18:$I$47,$C156)</f>
        <v>0</v>
      </c>
      <c r="G156" s="17">
        <f>COUNTIF('261003'!$C$18:$C$47,$C156)+COUNTIF('261003'!$I$18:$I$47,$C156)</f>
        <v>0</v>
      </c>
      <c r="H156" s="17">
        <f>COUNTIF('261004'!$C$18:$C$47,$C156)+COUNTIF('261004'!$I$18:$I$47,$C156)</f>
        <v>0</v>
      </c>
      <c r="I156" s="17">
        <f>COUNTIF('261005'!$C$18:$C$47,$C156)+COUNTIF('261005'!$I$18:$I$47,$C156)</f>
        <v>0</v>
      </c>
      <c r="J156" s="17">
        <f>COUNTIF('261006'!$C$18:$C$47,$C156)+COUNTIF('261006'!$I$18:$I$47,$C156)</f>
        <v>0</v>
      </c>
      <c r="K156" s="17">
        <f>COUNTIF('261007'!$C$18:$C$47,$C156)+COUNTIF('261007'!$I$18:$I$47,$C156)</f>
        <v>0</v>
      </c>
      <c r="L156" s="17">
        <f>COUNTIF('261008'!$C$18:$C$47,$C156)+COUNTIF('261008'!$I$18:$I$47,$C156)</f>
        <v>0</v>
      </c>
      <c r="M156" s="17">
        <f>COUNTIF('261009'!$C$18:$C$47,$C156)+COUNTIF('261009'!$I$18:$I$47,$C156)</f>
        <v>0</v>
      </c>
      <c r="N156" s="17">
        <f>COUNTIF('261010'!$C$18:$C$47,$C156)+COUNTIF('261010'!$I$18:$I$47,$C156)</f>
        <v>0</v>
      </c>
      <c r="O156" s="17">
        <f>COUNTIF('261011'!$C$18:$C$47,$C156)+COUNTIF('261011'!$I$18:$I$47,$C156)</f>
        <v>0</v>
      </c>
      <c r="P156" s="17">
        <f>COUNTIF('261012'!$C$18:$C$47,$C156)+COUNTIF('261012'!$I$18:$I$47,$C156)</f>
        <v>0</v>
      </c>
      <c r="Q156" s="17">
        <f>COUNTIF('261013'!$C$18:$C$47,$C156)+COUNTIF('261013'!$I$18:$I$47,$C156)</f>
        <v>0</v>
      </c>
      <c r="R156" s="17">
        <f>COUNTIF('261014'!$C$18:$C$47,$C156)+COUNTIF('261014'!$I$18:$I$47,$C156)</f>
        <v>0</v>
      </c>
      <c r="S156" s="17">
        <f>COUNTIF('261015'!$C$18:$C$47,$C156)+COUNTIF('261015'!$I$18:$I$47,$C156)</f>
        <v>0</v>
      </c>
      <c r="T156" s="17">
        <f>COUNTIF('261016'!$C$18:$C$47,$C156)+COUNTIF('261016'!$I$18:$I$47,$C156)</f>
        <v>0</v>
      </c>
      <c r="U156" s="17">
        <f>COUNTIF('261017'!$C$18:$C$47,$C156)+COUNTIF('261017'!$I$18:$I$47,$C156)</f>
        <v>0</v>
      </c>
      <c r="V156" s="17">
        <f>COUNTIF('261018'!$C$18:$C$47,$C156)+COUNTIF('261018'!$I$18:$I$47,$C156)</f>
        <v>0</v>
      </c>
      <c r="W156" s="17">
        <f>COUNTIF('261019'!$C$18:$C$47,$C156)+COUNTIF('261019'!$I$18:$I$47,$C156)</f>
        <v>0</v>
      </c>
      <c r="X156" s="17">
        <f>COUNTIF('261020'!$C$18:$C$47,$C156)+COUNTIF('261020'!$I$18:$I$47,$C156)</f>
        <v>0</v>
      </c>
      <c r="Y156" s="17">
        <f>COUNTIF('261021'!$C$18:$C$47,$C156)+COUNTIF('261021'!$I$18:$I$47,$C156)</f>
        <v>0</v>
      </c>
      <c r="Z156" s="17">
        <f>COUNTIF('261022'!$C$18:$C$47,$C156)+COUNTIF('261022'!$I$18:$I$47,$C156)</f>
        <v>0</v>
      </c>
      <c r="AA156" s="17">
        <f>COUNTIF('261023'!$C$18:$C$47,$C156)+COUNTIF('261023'!$I$18:$I$47,$C156)</f>
        <v>0</v>
      </c>
      <c r="AB156" s="17">
        <f>COUNTIF('261024'!$C$18:$C$47,$C156)+COUNTIF('261024'!$I$18:$I$47,$C156)</f>
        <v>0</v>
      </c>
      <c r="AC156" s="17">
        <f>COUNTIF('261025'!$C$18:$C$47,$C156)+COUNTIF('261025'!$I$18:$I$47,$C156)</f>
        <v>0</v>
      </c>
      <c r="AD156" s="17">
        <f>COUNTIF('261026'!$C$18:$C$47,$C156)+COUNTIF('261026'!$I$18:$I$47,$C156)</f>
        <v>0</v>
      </c>
      <c r="AE156" s="17">
        <f>COUNTIF('261027'!$C$18:$C$47,$C156)+COUNTIF('261027'!$I$18:$I$47,$C156)</f>
        <v>0</v>
      </c>
      <c r="AF156" s="17">
        <f>COUNTIF('261028'!$C$18:$C$47,$C156)+COUNTIF('261028'!$I$18:$I$47,$C156)</f>
        <v>0</v>
      </c>
      <c r="AG156" s="17">
        <f>COUNTIF('261029'!$C$18:$C$47,$C156)+COUNTIF('261029'!$I$18:$I$47,$C156)</f>
        <v>0</v>
      </c>
      <c r="AH156" s="17">
        <f>COUNTIF('261030'!$C$18:$C$47,$C156)+COUNTIF('261030'!$I$18:$I$47,$C156)</f>
        <v>0</v>
      </c>
      <c r="AI156" s="17">
        <f>COUNTIF('261031'!$C$18:$C$47,$C156)+COUNTIF('261031'!$I$18:$I$47,$C156)</f>
        <v>0</v>
      </c>
      <c r="AJ156" s="52">
        <f t="shared" si="7"/>
        <v>0</v>
      </c>
      <c r="AL156" s="16"/>
      <c r="AM156" s="16"/>
    </row>
    <row r="157" spans="2:39" ht="20.100000000000001" customHeight="1" x14ac:dyDescent="0.3">
      <c r="B157" s="36">
        <f t="shared" si="6"/>
        <v>153</v>
      </c>
      <c r="C157" s="19"/>
      <c r="D157" s="19"/>
      <c r="E157" s="17">
        <f>COUNTIF('261001'!$C$18:$C$47,$C157)+COUNTIF('261001'!$I$18:$I$47,$C157)</f>
        <v>0</v>
      </c>
      <c r="F157" s="17">
        <f>COUNTIF('261002'!$C$18:$C$47,$C157)+COUNTIF('261002'!$I$18:$I$47,$C157)</f>
        <v>0</v>
      </c>
      <c r="G157" s="17">
        <f>COUNTIF('261003'!$C$18:$C$47,$C157)+COUNTIF('261003'!$I$18:$I$47,$C157)</f>
        <v>0</v>
      </c>
      <c r="H157" s="17">
        <f>COUNTIF('261004'!$C$18:$C$47,$C157)+COUNTIF('261004'!$I$18:$I$47,$C157)</f>
        <v>0</v>
      </c>
      <c r="I157" s="17">
        <f>COUNTIF('261005'!$C$18:$C$47,$C157)+COUNTIF('261005'!$I$18:$I$47,$C157)</f>
        <v>0</v>
      </c>
      <c r="J157" s="17">
        <f>COUNTIF('261006'!$C$18:$C$47,$C157)+COUNTIF('261006'!$I$18:$I$47,$C157)</f>
        <v>0</v>
      </c>
      <c r="K157" s="17">
        <f>COUNTIF('261007'!$C$18:$C$47,$C157)+COUNTIF('261007'!$I$18:$I$47,$C157)</f>
        <v>0</v>
      </c>
      <c r="L157" s="17">
        <f>COUNTIF('261008'!$C$18:$C$47,$C157)+COUNTIF('261008'!$I$18:$I$47,$C157)</f>
        <v>0</v>
      </c>
      <c r="M157" s="17">
        <f>COUNTIF('261009'!$C$18:$C$47,$C157)+COUNTIF('261009'!$I$18:$I$47,$C157)</f>
        <v>0</v>
      </c>
      <c r="N157" s="17">
        <f>COUNTIF('261010'!$C$18:$C$47,$C157)+COUNTIF('261010'!$I$18:$I$47,$C157)</f>
        <v>0</v>
      </c>
      <c r="O157" s="17">
        <f>COUNTIF('261011'!$C$18:$C$47,$C157)+COUNTIF('261011'!$I$18:$I$47,$C157)</f>
        <v>0</v>
      </c>
      <c r="P157" s="17">
        <f>COUNTIF('261012'!$C$18:$C$47,$C157)+COUNTIF('261012'!$I$18:$I$47,$C157)</f>
        <v>0</v>
      </c>
      <c r="Q157" s="17">
        <f>COUNTIF('261013'!$C$18:$C$47,$C157)+COUNTIF('261013'!$I$18:$I$47,$C157)</f>
        <v>0</v>
      </c>
      <c r="R157" s="17">
        <f>COUNTIF('261014'!$C$18:$C$47,$C157)+COUNTIF('261014'!$I$18:$I$47,$C157)</f>
        <v>0</v>
      </c>
      <c r="S157" s="17">
        <f>COUNTIF('261015'!$C$18:$C$47,$C157)+COUNTIF('261015'!$I$18:$I$47,$C157)</f>
        <v>0</v>
      </c>
      <c r="T157" s="17">
        <f>COUNTIF('261016'!$C$18:$C$47,$C157)+COUNTIF('261016'!$I$18:$I$47,$C157)</f>
        <v>0</v>
      </c>
      <c r="U157" s="17">
        <f>COUNTIF('261017'!$C$18:$C$47,$C157)+COUNTIF('261017'!$I$18:$I$47,$C157)</f>
        <v>0</v>
      </c>
      <c r="V157" s="17">
        <f>COUNTIF('261018'!$C$18:$C$47,$C157)+COUNTIF('261018'!$I$18:$I$47,$C157)</f>
        <v>0</v>
      </c>
      <c r="W157" s="17">
        <f>COUNTIF('261019'!$C$18:$C$47,$C157)+COUNTIF('261019'!$I$18:$I$47,$C157)</f>
        <v>0</v>
      </c>
      <c r="X157" s="17">
        <f>COUNTIF('261020'!$C$18:$C$47,$C157)+COUNTIF('261020'!$I$18:$I$47,$C157)</f>
        <v>0</v>
      </c>
      <c r="Y157" s="17">
        <f>COUNTIF('261021'!$C$18:$C$47,$C157)+COUNTIF('261021'!$I$18:$I$47,$C157)</f>
        <v>0</v>
      </c>
      <c r="Z157" s="17">
        <f>COUNTIF('261022'!$C$18:$C$47,$C157)+COUNTIF('261022'!$I$18:$I$47,$C157)</f>
        <v>0</v>
      </c>
      <c r="AA157" s="17">
        <f>COUNTIF('261023'!$C$18:$C$47,$C157)+COUNTIF('261023'!$I$18:$I$47,$C157)</f>
        <v>0</v>
      </c>
      <c r="AB157" s="17">
        <f>COUNTIF('261024'!$C$18:$C$47,$C157)+COUNTIF('261024'!$I$18:$I$47,$C157)</f>
        <v>0</v>
      </c>
      <c r="AC157" s="17">
        <f>COUNTIF('261025'!$C$18:$C$47,$C157)+COUNTIF('261025'!$I$18:$I$47,$C157)</f>
        <v>0</v>
      </c>
      <c r="AD157" s="17">
        <f>COUNTIF('261026'!$C$18:$C$47,$C157)+COUNTIF('261026'!$I$18:$I$47,$C157)</f>
        <v>0</v>
      </c>
      <c r="AE157" s="17">
        <f>COUNTIF('261027'!$C$18:$C$47,$C157)+COUNTIF('261027'!$I$18:$I$47,$C157)</f>
        <v>0</v>
      </c>
      <c r="AF157" s="17">
        <f>COUNTIF('261028'!$C$18:$C$47,$C157)+COUNTIF('261028'!$I$18:$I$47,$C157)</f>
        <v>0</v>
      </c>
      <c r="AG157" s="17">
        <f>COUNTIF('261029'!$C$18:$C$47,$C157)+COUNTIF('261029'!$I$18:$I$47,$C157)</f>
        <v>0</v>
      </c>
      <c r="AH157" s="17">
        <f>COUNTIF('261030'!$C$18:$C$47,$C157)+COUNTIF('261030'!$I$18:$I$47,$C157)</f>
        <v>0</v>
      </c>
      <c r="AI157" s="17">
        <f>COUNTIF('261031'!$C$18:$C$47,$C157)+COUNTIF('261031'!$I$18:$I$47,$C157)</f>
        <v>0</v>
      </c>
      <c r="AJ157" s="52">
        <f t="shared" si="7"/>
        <v>0</v>
      </c>
      <c r="AL157" s="16"/>
      <c r="AM157" s="16"/>
    </row>
    <row r="158" spans="2:39" ht="20.100000000000001" customHeight="1" x14ac:dyDescent="0.3">
      <c r="B158" s="36">
        <f t="shared" si="6"/>
        <v>154</v>
      </c>
      <c r="C158" s="19"/>
      <c r="D158" s="19"/>
      <c r="E158" s="17">
        <f>COUNTIF('261001'!$C$18:$C$47,$C158)+COUNTIF('261001'!$I$18:$I$47,$C158)</f>
        <v>0</v>
      </c>
      <c r="F158" s="17">
        <f>COUNTIF('261002'!$C$18:$C$47,$C158)+COUNTIF('261002'!$I$18:$I$47,$C158)</f>
        <v>0</v>
      </c>
      <c r="G158" s="17">
        <f>COUNTIF('261003'!$C$18:$C$47,$C158)+COUNTIF('261003'!$I$18:$I$47,$C158)</f>
        <v>0</v>
      </c>
      <c r="H158" s="17">
        <f>COUNTIF('261004'!$C$18:$C$47,$C158)+COUNTIF('261004'!$I$18:$I$47,$C158)</f>
        <v>0</v>
      </c>
      <c r="I158" s="17">
        <f>COUNTIF('261005'!$C$18:$C$47,$C158)+COUNTIF('261005'!$I$18:$I$47,$C158)</f>
        <v>0</v>
      </c>
      <c r="J158" s="17">
        <f>COUNTIF('261006'!$C$18:$C$47,$C158)+COUNTIF('261006'!$I$18:$I$47,$C158)</f>
        <v>0</v>
      </c>
      <c r="K158" s="17">
        <f>COUNTIF('261007'!$C$18:$C$47,$C158)+COUNTIF('261007'!$I$18:$I$47,$C158)</f>
        <v>0</v>
      </c>
      <c r="L158" s="17">
        <f>COUNTIF('261008'!$C$18:$C$47,$C158)+COUNTIF('261008'!$I$18:$I$47,$C158)</f>
        <v>0</v>
      </c>
      <c r="M158" s="17">
        <f>COUNTIF('261009'!$C$18:$C$47,$C158)+COUNTIF('261009'!$I$18:$I$47,$C158)</f>
        <v>0</v>
      </c>
      <c r="N158" s="17">
        <f>COUNTIF('261010'!$C$18:$C$47,$C158)+COUNTIF('261010'!$I$18:$I$47,$C158)</f>
        <v>0</v>
      </c>
      <c r="O158" s="17">
        <f>COUNTIF('261011'!$C$18:$C$47,$C158)+COUNTIF('261011'!$I$18:$I$47,$C158)</f>
        <v>0</v>
      </c>
      <c r="P158" s="17">
        <f>COUNTIF('261012'!$C$18:$C$47,$C158)+COUNTIF('261012'!$I$18:$I$47,$C158)</f>
        <v>0</v>
      </c>
      <c r="Q158" s="17">
        <f>COUNTIF('261013'!$C$18:$C$47,$C158)+COUNTIF('261013'!$I$18:$I$47,$C158)</f>
        <v>0</v>
      </c>
      <c r="R158" s="17">
        <f>COUNTIF('261014'!$C$18:$C$47,$C158)+COUNTIF('261014'!$I$18:$I$47,$C158)</f>
        <v>0</v>
      </c>
      <c r="S158" s="17">
        <f>COUNTIF('261015'!$C$18:$C$47,$C158)+COUNTIF('261015'!$I$18:$I$47,$C158)</f>
        <v>0</v>
      </c>
      <c r="T158" s="17">
        <f>COUNTIF('261016'!$C$18:$C$47,$C158)+COUNTIF('261016'!$I$18:$I$47,$C158)</f>
        <v>0</v>
      </c>
      <c r="U158" s="17">
        <f>COUNTIF('261017'!$C$18:$C$47,$C158)+COUNTIF('261017'!$I$18:$I$47,$C158)</f>
        <v>0</v>
      </c>
      <c r="V158" s="17">
        <f>COUNTIF('261018'!$C$18:$C$47,$C158)+COUNTIF('261018'!$I$18:$I$47,$C158)</f>
        <v>0</v>
      </c>
      <c r="W158" s="17">
        <f>COUNTIF('261019'!$C$18:$C$47,$C158)+COUNTIF('261019'!$I$18:$I$47,$C158)</f>
        <v>0</v>
      </c>
      <c r="X158" s="17">
        <f>COUNTIF('261020'!$C$18:$C$47,$C158)+COUNTIF('261020'!$I$18:$I$47,$C158)</f>
        <v>0</v>
      </c>
      <c r="Y158" s="17">
        <f>COUNTIF('261021'!$C$18:$C$47,$C158)+COUNTIF('261021'!$I$18:$I$47,$C158)</f>
        <v>0</v>
      </c>
      <c r="Z158" s="17">
        <f>COUNTIF('261022'!$C$18:$C$47,$C158)+COUNTIF('261022'!$I$18:$I$47,$C158)</f>
        <v>0</v>
      </c>
      <c r="AA158" s="17">
        <f>COUNTIF('261023'!$C$18:$C$47,$C158)+COUNTIF('261023'!$I$18:$I$47,$C158)</f>
        <v>0</v>
      </c>
      <c r="AB158" s="17">
        <f>COUNTIF('261024'!$C$18:$C$47,$C158)+COUNTIF('261024'!$I$18:$I$47,$C158)</f>
        <v>0</v>
      </c>
      <c r="AC158" s="17">
        <f>COUNTIF('261025'!$C$18:$C$47,$C158)+COUNTIF('261025'!$I$18:$I$47,$C158)</f>
        <v>0</v>
      </c>
      <c r="AD158" s="17">
        <f>COUNTIF('261026'!$C$18:$C$47,$C158)+COUNTIF('261026'!$I$18:$I$47,$C158)</f>
        <v>0</v>
      </c>
      <c r="AE158" s="17">
        <f>COUNTIF('261027'!$C$18:$C$47,$C158)+COUNTIF('261027'!$I$18:$I$47,$C158)</f>
        <v>0</v>
      </c>
      <c r="AF158" s="17">
        <f>COUNTIF('261028'!$C$18:$C$47,$C158)+COUNTIF('261028'!$I$18:$I$47,$C158)</f>
        <v>0</v>
      </c>
      <c r="AG158" s="17">
        <f>COUNTIF('261029'!$C$18:$C$47,$C158)+COUNTIF('261029'!$I$18:$I$47,$C158)</f>
        <v>0</v>
      </c>
      <c r="AH158" s="17">
        <f>COUNTIF('261030'!$C$18:$C$47,$C158)+COUNTIF('261030'!$I$18:$I$47,$C158)</f>
        <v>0</v>
      </c>
      <c r="AI158" s="17">
        <f>COUNTIF('261031'!$C$18:$C$47,$C158)+COUNTIF('261031'!$I$18:$I$47,$C158)</f>
        <v>0</v>
      </c>
      <c r="AJ158" s="52">
        <f t="shared" si="7"/>
        <v>0</v>
      </c>
      <c r="AL158" s="16"/>
      <c r="AM158" s="16"/>
    </row>
    <row r="159" spans="2:39" ht="20.100000000000001" customHeight="1" x14ac:dyDescent="0.3">
      <c r="B159" s="36">
        <f t="shared" si="6"/>
        <v>155</v>
      </c>
      <c r="C159" s="19"/>
      <c r="D159" s="19"/>
      <c r="E159" s="17">
        <f>COUNTIF('261001'!$C$18:$C$47,$C159)+COUNTIF('261001'!$I$18:$I$47,$C159)</f>
        <v>0</v>
      </c>
      <c r="F159" s="17">
        <f>COUNTIF('261002'!$C$18:$C$47,$C159)+COUNTIF('261002'!$I$18:$I$47,$C159)</f>
        <v>0</v>
      </c>
      <c r="G159" s="17">
        <f>COUNTIF('261003'!$C$18:$C$47,$C159)+COUNTIF('261003'!$I$18:$I$47,$C159)</f>
        <v>0</v>
      </c>
      <c r="H159" s="17">
        <f>COUNTIF('261004'!$C$18:$C$47,$C159)+COUNTIF('261004'!$I$18:$I$47,$C159)</f>
        <v>0</v>
      </c>
      <c r="I159" s="17">
        <f>COUNTIF('261005'!$C$18:$C$47,$C159)+COUNTIF('261005'!$I$18:$I$47,$C159)</f>
        <v>0</v>
      </c>
      <c r="J159" s="17">
        <f>COUNTIF('261006'!$C$18:$C$47,$C159)+COUNTIF('261006'!$I$18:$I$47,$C159)</f>
        <v>0</v>
      </c>
      <c r="K159" s="17">
        <f>COUNTIF('261007'!$C$18:$C$47,$C159)+COUNTIF('261007'!$I$18:$I$47,$C159)</f>
        <v>0</v>
      </c>
      <c r="L159" s="17">
        <f>COUNTIF('261008'!$C$18:$C$47,$C159)+COUNTIF('261008'!$I$18:$I$47,$C159)</f>
        <v>0</v>
      </c>
      <c r="M159" s="17">
        <f>COUNTIF('261009'!$C$18:$C$47,$C159)+COUNTIF('261009'!$I$18:$I$47,$C159)</f>
        <v>0</v>
      </c>
      <c r="N159" s="17">
        <f>COUNTIF('261010'!$C$18:$C$47,$C159)+COUNTIF('261010'!$I$18:$I$47,$C159)</f>
        <v>0</v>
      </c>
      <c r="O159" s="17">
        <f>COUNTIF('261011'!$C$18:$C$47,$C159)+COUNTIF('261011'!$I$18:$I$47,$C159)</f>
        <v>0</v>
      </c>
      <c r="P159" s="17">
        <f>COUNTIF('261012'!$C$18:$C$47,$C159)+COUNTIF('261012'!$I$18:$I$47,$C159)</f>
        <v>0</v>
      </c>
      <c r="Q159" s="17">
        <f>COUNTIF('261013'!$C$18:$C$47,$C159)+COUNTIF('261013'!$I$18:$I$47,$C159)</f>
        <v>0</v>
      </c>
      <c r="R159" s="17">
        <f>COUNTIF('261014'!$C$18:$C$47,$C159)+COUNTIF('261014'!$I$18:$I$47,$C159)</f>
        <v>0</v>
      </c>
      <c r="S159" s="17">
        <f>COUNTIF('261015'!$C$18:$C$47,$C159)+COUNTIF('261015'!$I$18:$I$47,$C159)</f>
        <v>0</v>
      </c>
      <c r="T159" s="17">
        <f>COUNTIF('261016'!$C$18:$C$47,$C159)+COUNTIF('261016'!$I$18:$I$47,$C159)</f>
        <v>0</v>
      </c>
      <c r="U159" s="17">
        <f>COUNTIF('261017'!$C$18:$C$47,$C159)+COUNTIF('261017'!$I$18:$I$47,$C159)</f>
        <v>0</v>
      </c>
      <c r="V159" s="17">
        <f>COUNTIF('261018'!$C$18:$C$47,$C159)+COUNTIF('261018'!$I$18:$I$47,$C159)</f>
        <v>0</v>
      </c>
      <c r="W159" s="17">
        <f>COUNTIF('261019'!$C$18:$C$47,$C159)+COUNTIF('261019'!$I$18:$I$47,$C159)</f>
        <v>0</v>
      </c>
      <c r="X159" s="17">
        <f>COUNTIF('261020'!$C$18:$C$47,$C159)+COUNTIF('261020'!$I$18:$I$47,$C159)</f>
        <v>0</v>
      </c>
      <c r="Y159" s="17">
        <f>COUNTIF('261021'!$C$18:$C$47,$C159)+COUNTIF('261021'!$I$18:$I$47,$C159)</f>
        <v>0</v>
      </c>
      <c r="Z159" s="17">
        <f>COUNTIF('261022'!$C$18:$C$47,$C159)+COUNTIF('261022'!$I$18:$I$47,$C159)</f>
        <v>0</v>
      </c>
      <c r="AA159" s="17">
        <f>COUNTIF('261023'!$C$18:$C$47,$C159)+COUNTIF('261023'!$I$18:$I$47,$C159)</f>
        <v>0</v>
      </c>
      <c r="AB159" s="17">
        <f>COUNTIF('261024'!$C$18:$C$47,$C159)+COUNTIF('261024'!$I$18:$I$47,$C159)</f>
        <v>0</v>
      </c>
      <c r="AC159" s="17">
        <f>COUNTIF('261025'!$C$18:$C$47,$C159)+COUNTIF('261025'!$I$18:$I$47,$C159)</f>
        <v>0</v>
      </c>
      <c r="AD159" s="17">
        <f>COUNTIF('261026'!$C$18:$C$47,$C159)+COUNTIF('261026'!$I$18:$I$47,$C159)</f>
        <v>0</v>
      </c>
      <c r="AE159" s="17">
        <f>COUNTIF('261027'!$C$18:$C$47,$C159)+COUNTIF('261027'!$I$18:$I$47,$C159)</f>
        <v>0</v>
      </c>
      <c r="AF159" s="17">
        <f>COUNTIF('261028'!$C$18:$C$47,$C159)+COUNTIF('261028'!$I$18:$I$47,$C159)</f>
        <v>0</v>
      </c>
      <c r="AG159" s="17">
        <f>COUNTIF('261029'!$C$18:$C$47,$C159)+COUNTIF('261029'!$I$18:$I$47,$C159)</f>
        <v>0</v>
      </c>
      <c r="AH159" s="17">
        <f>COUNTIF('261030'!$C$18:$C$47,$C159)+COUNTIF('261030'!$I$18:$I$47,$C159)</f>
        <v>0</v>
      </c>
      <c r="AI159" s="17">
        <f>COUNTIF('261031'!$C$18:$C$47,$C159)+COUNTIF('261031'!$I$18:$I$47,$C159)</f>
        <v>0</v>
      </c>
      <c r="AJ159" s="52">
        <f t="shared" si="7"/>
        <v>0</v>
      </c>
      <c r="AL159" s="16"/>
      <c r="AM159" s="16"/>
    </row>
    <row r="160" spans="2:39" ht="20.100000000000001" customHeight="1" x14ac:dyDescent="0.3">
      <c r="B160" s="36">
        <f t="shared" si="6"/>
        <v>156</v>
      </c>
      <c r="C160" s="19"/>
      <c r="D160" s="19"/>
      <c r="E160" s="17">
        <f>COUNTIF('261001'!$C$18:$C$47,$C160)+COUNTIF('261001'!$I$18:$I$47,$C160)</f>
        <v>0</v>
      </c>
      <c r="F160" s="17">
        <f>COUNTIF('261002'!$C$18:$C$47,$C160)+COUNTIF('261002'!$I$18:$I$47,$C160)</f>
        <v>0</v>
      </c>
      <c r="G160" s="17">
        <f>COUNTIF('261003'!$C$18:$C$47,$C160)+COUNTIF('261003'!$I$18:$I$47,$C160)</f>
        <v>0</v>
      </c>
      <c r="H160" s="17">
        <f>COUNTIF('261004'!$C$18:$C$47,$C160)+COUNTIF('261004'!$I$18:$I$47,$C160)</f>
        <v>0</v>
      </c>
      <c r="I160" s="17">
        <f>COUNTIF('261005'!$C$18:$C$47,$C160)+COUNTIF('261005'!$I$18:$I$47,$C160)</f>
        <v>0</v>
      </c>
      <c r="J160" s="17">
        <f>COUNTIF('261006'!$C$18:$C$47,$C160)+COUNTIF('261006'!$I$18:$I$47,$C160)</f>
        <v>0</v>
      </c>
      <c r="K160" s="17">
        <f>COUNTIF('261007'!$C$18:$C$47,$C160)+COUNTIF('261007'!$I$18:$I$47,$C160)</f>
        <v>0</v>
      </c>
      <c r="L160" s="17">
        <f>COUNTIF('261008'!$C$18:$C$47,$C160)+COUNTIF('261008'!$I$18:$I$47,$C160)</f>
        <v>0</v>
      </c>
      <c r="M160" s="17">
        <f>COUNTIF('261009'!$C$18:$C$47,$C160)+COUNTIF('261009'!$I$18:$I$47,$C160)</f>
        <v>0</v>
      </c>
      <c r="N160" s="17">
        <f>COUNTIF('261010'!$C$18:$C$47,$C160)+COUNTIF('261010'!$I$18:$I$47,$C160)</f>
        <v>0</v>
      </c>
      <c r="O160" s="17">
        <f>COUNTIF('261011'!$C$18:$C$47,$C160)+COUNTIF('261011'!$I$18:$I$47,$C160)</f>
        <v>0</v>
      </c>
      <c r="P160" s="17">
        <f>COUNTIF('261012'!$C$18:$C$47,$C160)+COUNTIF('261012'!$I$18:$I$47,$C160)</f>
        <v>0</v>
      </c>
      <c r="Q160" s="17">
        <f>COUNTIF('261013'!$C$18:$C$47,$C160)+COUNTIF('261013'!$I$18:$I$47,$C160)</f>
        <v>0</v>
      </c>
      <c r="R160" s="17">
        <f>COUNTIF('261014'!$C$18:$C$47,$C160)+COUNTIF('261014'!$I$18:$I$47,$C160)</f>
        <v>0</v>
      </c>
      <c r="S160" s="17">
        <f>COUNTIF('261015'!$C$18:$C$47,$C160)+COUNTIF('261015'!$I$18:$I$47,$C160)</f>
        <v>0</v>
      </c>
      <c r="T160" s="17">
        <f>COUNTIF('261016'!$C$18:$C$47,$C160)+COUNTIF('261016'!$I$18:$I$47,$C160)</f>
        <v>0</v>
      </c>
      <c r="U160" s="17">
        <f>COUNTIF('261017'!$C$18:$C$47,$C160)+COUNTIF('261017'!$I$18:$I$47,$C160)</f>
        <v>0</v>
      </c>
      <c r="V160" s="17">
        <f>COUNTIF('261018'!$C$18:$C$47,$C160)+COUNTIF('261018'!$I$18:$I$47,$C160)</f>
        <v>0</v>
      </c>
      <c r="W160" s="17">
        <f>COUNTIF('261019'!$C$18:$C$47,$C160)+COUNTIF('261019'!$I$18:$I$47,$C160)</f>
        <v>0</v>
      </c>
      <c r="X160" s="17">
        <f>COUNTIF('261020'!$C$18:$C$47,$C160)+COUNTIF('261020'!$I$18:$I$47,$C160)</f>
        <v>0</v>
      </c>
      <c r="Y160" s="17">
        <f>COUNTIF('261021'!$C$18:$C$47,$C160)+COUNTIF('261021'!$I$18:$I$47,$C160)</f>
        <v>0</v>
      </c>
      <c r="Z160" s="17">
        <f>COUNTIF('261022'!$C$18:$C$47,$C160)+COUNTIF('261022'!$I$18:$I$47,$C160)</f>
        <v>0</v>
      </c>
      <c r="AA160" s="17">
        <f>COUNTIF('261023'!$C$18:$C$47,$C160)+COUNTIF('261023'!$I$18:$I$47,$C160)</f>
        <v>0</v>
      </c>
      <c r="AB160" s="17">
        <f>COUNTIF('261024'!$C$18:$C$47,$C160)+COUNTIF('261024'!$I$18:$I$47,$C160)</f>
        <v>0</v>
      </c>
      <c r="AC160" s="17">
        <f>COUNTIF('261025'!$C$18:$C$47,$C160)+COUNTIF('261025'!$I$18:$I$47,$C160)</f>
        <v>0</v>
      </c>
      <c r="AD160" s="17">
        <f>COUNTIF('261026'!$C$18:$C$47,$C160)+COUNTIF('261026'!$I$18:$I$47,$C160)</f>
        <v>0</v>
      </c>
      <c r="AE160" s="17">
        <f>COUNTIF('261027'!$C$18:$C$47,$C160)+COUNTIF('261027'!$I$18:$I$47,$C160)</f>
        <v>0</v>
      </c>
      <c r="AF160" s="17">
        <f>COUNTIF('261028'!$C$18:$C$47,$C160)+COUNTIF('261028'!$I$18:$I$47,$C160)</f>
        <v>0</v>
      </c>
      <c r="AG160" s="17">
        <f>COUNTIF('261029'!$C$18:$C$47,$C160)+COUNTIF('261029'!$I$18:$I$47,$C160)</f>
        <v>0</v>
      </c>
      <c r="AH160" s="17">
        <f>COUNTIF('261030'!$C$18:$C$47,$C160)+COUNTIF('261030'!$I$18:$I$47,$C160)</f>
        <v>0</v>
      </c>
      <c r="AI160" s="17">
        <f>COUNTIF('261031'!$C$18:$C$47,$C160)+COUNTIF('261031'!$I$18:$I$47,$C160)</f>
        <v>0</v>
      </c>
      <c r="AJ160" s="52">
        <f t="shared" si="7"/>
        <v>0</v>
      </c>
      <c r="AL160" s="16"/>
      <c r="AM160" s="16"/>
    </row>
    <row r="161" spans="2:39" ht="20.100000000000001" customHeight="1" x14ac:dyDescent="0.3">
      <c r="B161" s="36">
        <f t="shared" si="6"/>
        <v>157</v>
      </c>
      <c r="C161" s="19"/>
      <c r="D161" s="19"/>
      <c r="E161" s="17">
        <f>COUNTIF('261001'!$C$18:$C$47,$C161)+COUNTIF('261001'!$I$18:$I$47,$C161)</f>
        <v>0</v>
      </c>
      <c r="F161" s="17">
        <f>COUNTIF('261002'!$C$18:$C$47,$C161)+COUNTIF('261002'!$I$18:$I$47,$C161)</f>
        <v>0</v>
      </c>
      <c r="G161" s="17">
        <f>COUNTIF('261003'!$C$18:$C$47,$C161)+COUNTIF('261003'!$I$18:$I$47,$C161)</f>
        <v>0</v>
      </c>
      <c r="H161" s="17">
        <f>COUNTIF('261004'!$C$18:$C$47,$C161)+COUNTIF('261004'!$I$18:$I$47,$C161)</f>
        <v>0</v>
      </c>
      <c r="I161" s="17">
        <f>COUNTIF('261005'!$C$18:$C$47,$C161)+COUNTIF('261005'!$I$18:$I$47,$C161)</f>
        <v>0</v>
      </c>
      <c r="J161" s="17">
        <f>COUNTIF('261006'!$C$18:$C$47,$C161)+COUNTIF('261006'!$I$18:$I$47,$C161)</f>
        <v>0</v>
      </c>
      <c r="K161" s="17">
        <f>COUNTIF('261007'!$C$18:$C$47,$C161)+COUNTIF('261007'!$I$18:$I$47,$C161)</f>
        <v>0</v>
      </c>
      <c r="L161" s="17">
        <f>COUNTIF('261008'!$C$18:$C$47,$C161)+COUNTIF('261008'!$I$18:$I$47,$C161)</f>
        <v>0</v>
      </c>
      <c r="M161" s="17">
        <f>COUNTIF('261009'!$C$18:$C$47,$C161)+COUNTIF('261009'!$I$18:$I$47,$C161)</f>
        <v>0</v>
      </c>
      <c r="N161" s="17">
        <f>COUNTIF('261010'!$C$18:$C$47,$C161)+COUNTIF('261010'!$I$18:$I$47,$C161)</f>
        <v>0</v>
      </c>
      <c r="O161" s="17">
        <f>COUNTIF('261011'!$C$18:$C$47,$C161)+COUNTIF('261011'!$I$18:$I$47,$C161)</f>
        <v>0</v>
      </c>
      <c r="P161" s="17">
        <f>COUNTIF('261012'!$C$18:$C$47,$C161)+COUNTIF('261012'!$I$18:$I$47,$C161)</f>
        <v>0</v>
      </c>
      <c r="Q161" s="17">
        <f>COUNTIF('261013'!$C$18:$C$47,$C161)+COUNTIF('261013'!$I$18:$I$47,$C161)</f>
        <v>0</v>
      </c>
      <c r="R161" s="17">
        <f>COUNTIF('261014'!$C$18:$C$47,$C161)+COUNTIF('261014'!$I$18:$I$47,$C161)</f>
        <v>0</v>
      </c>
      <c r="S161" s="17">
        <f>COUNTIF('261015'!$C$18:$C$47,$C161)+COUNTIF('261015'!$I$18:$I$47,$C161)</f>
        <v>0</v>
      </c>
      <c r="T161" s="17">
        <f>COUNTIF('261016'!$C$18:$C$47,$C161)+COUNTIF('261016'!$I$18:$I$47,$C161)</f>
        <v>0</v>
      </c>
      <c r="U161" s="17">
        <f>COUNTIF('261017'!$C$18:$C$47,$C161)+COUNTIF('261017'!$I$18:$I$47,$C161)</f>
        <v>0</v>
      </c>
      <c r="V161" s="17">
        <f>COUNTIF('261018'!$C$18:$C$47,$C161)+COUNTIF('261018'!$I$18:$I$47,$C161)</f>
        <v>0</v>
      </c>
      <c r="W161" s="17">
        <f>COUNTIF('261019'!$C$18:$C$47,$C161)+COUNTIF('261019'!$I$18:$I$47,$C161)</f>
        <v>0</v>
      </c>
      <c r="X161" s="17">
        <f>COUNTIF('261020'!$C$18:$C$47,$C161)+COUNTIF('261020'!$I$18:$I$47,$C161)</f>
        <v>0</v>
      </c>
      <c r="Y161" s="17">
        <f>COUNTIF('261021'!$C$18:$C$47,$C161)+COUNTIF('261021'!$I$18:$I$47,$C161)</f>
        <v>0</v>
      </c>
      <c r="Z161" s="17">
        <f>COUNTIF('261022'!$C$18:$C$47,$C161)+COUNTIF('261022'!$I$18:$I$47,$C161)</f>
        <v>0</v>
      </c>
      <c r="AA161" s="17">
        <f>COUNTIF('261023'!$C$18:$C$47,$C161)+COUNTIF('261023'!$I$18:$I$47,$C161)</f>
        <v>0</v>
      </c>
      <c r="AB161" s="17">
        <f>COUNTIF('261024'!$C$18:$C$47,$C161)+COUNTIF('261024'!$I$18:$I$47,$C161)</f>
        <v>0</v>
      </c>
      <c r="AC161" s="17">
        <f>COUNTIF('261025'!$C$18:$C$47,$C161)+COUNTIF('261025'!$I$18:$I$47,$C161)</f>
        <v>0</v>
      </c>
      <c r="AD161" s="17">
        <f>COUNTIF('261026'!$C$18:$C$47,$C161)+COUNTIF('261026'!$I$18:$I$47,$C161)</f>
        <v>0</v>
      </c>
      <c r="AE161" s="17">
        <f>COUNTIF('261027'!$C$18:$C$47,$C161)+COUNTIF('261027'!$I$18:$I$47,$C161)</f>
        <v>0</v>
      </c>
      <c r="AF161" s="17">
        <f>COUNTIF('261028'!$C$18:$C$47,$C161)+COUNTIF('261028'!$I$18:$I$47,$C161)</f>
        <v>0</v>
      </c>
      <c r="AG161" s="17">
        <f>COUNTIF('261029'!$C$18:$C$47,$C161)+COUNTIF('261029'!$I$18:$I$47,$C161)</f>
        <v>0</v>
      </c>
      <c r="AH161" s="17">
        <f>COUNTIF('261030'!$C$18:$C$47,$C161)+COUNTIF('261030'!$I$18:$I$47,$C161)</f>
        <v>0</v>
      </c>
      <c r="AI161" s="17">
        <f>COUNTIF('261031'!$C$18:$C$47,$C161)+COUNTIF('261031'!$I$18:$I$47,$C161)</f>
        <v>0</v>
      </c>
      <c r="AJ161" s="52">
        <f t="shared" si="7"/>
        <v>0</v>
      </c>
      <c r="AL161" s="16"/>
      <c r="AM161" s="16"/>
    </row>
    <row r="162" spans="2:39" ht="20.100000000000001" customHeight="1" x14ac:dyDescent="0.3">
      <c r="B162" s="36">
        <f t="shared" si="6"/>
        <v>158</v>
      </c>
      <c r="C162" s="19"/>
      <c r="D162" s="19"/>
      <c r="E162" s="17">
        <f>COUNTIF('261001'!$C$18:$C$47,$C162)+COUNTIF('261001'!$I$18:$I$47,$C162)</f>
        <v>0</v>
      </c>
      <c r="F162" s="17">
        <f>COUNTIF('261002'!$C$18:$C$47,$C162)+COUNTIF('261002'!$I$18:$I$47,$C162)</f>
        <v>0</v>
      </c>
      <c r="G162" s="17">
        <f>COUNTIF('261003'!$C$18:$C$47,$C162)+COUNTIF('261003'!$I$18:$I$47,$C162)</f>
        <v>0</v>
      </c>
      <c r="H162" s="17">
        <f>COUNTIF('261004'!$C$18:$C$47,$C162)+COUNTIF('261004'!$I$18:$I$47,$C162)</f>
        <v>0</v>
      </c>
      <c r="I162" s="17">
        <f>COUNTIF('261005'!$C$18:$C$47,$C162)+COUNTIF('261005'!$I$18:$I$47,$C162)</f>
        <v>0</v>
      </c>
      <c r="J162" s="17">
        <f>COUNTIF('261006'!$C$18:$C$47,$C162)+COUNTIF('261006'!$I$18:$I$47,$C162)</f>
        <v>0</v>
      </c>
      <c r="K162" s="17">
        <f>COUNTIF('261007'!$C$18:$C$47,$C162)+COUNTIF('261007'!$I$18:$I$47,$C162)</f>
        <v>0</v>
      </c>
      <c r="L162" s="17">
        <f>COUNTIF('261008'!$C$18:$C$47,$C162)+COUNTIF('261008'!$I$18:$I$47,$C162)</f>
        <v>0</v>
      </c>
      <c r="M162" s="17">
        <f>COUNTIF('261009'!$C$18:$C$47,$C162)+COUNTIF('261009'!$I$18:$I$47,$C162)</f>
        <v>0</v>
      </c>
      <c r="N162" s="17">
        <f>COUNTIF('261010'!$C$18:$C$47,$C162)+COUNTIF('261010'!$I$18:$I$47,$C162)</f>
        <v>0</v>
      </c>
      <c r="O162" s="17">
        <f>COUNTIF('261011'!$C$18:$C$47,$C162)+COUNTIF('261011'!$I$18:$I$47,$C162)</f>
        <v>0</v>
      </c>
      <c r="P162" s="17">
        <f>COUNTIF('261012'!$C$18:$C$47,$C162)+COUNTIF('261012'!$I$18:$I$47,$C162)</f>
        <v>0</v>
      </c>
      <c r="Q162" s="17">
        <f>COUNTIF('261013'!$C$18:$C$47,$C162)+COUNTIF('261013'!$I$18:$I$47,$C162)</f>
        <v>0</v>
      </c>
      <c r="R162" s="17">
        <f>COUNTIF('261014'!$C$18:$C$47,$C162)+COUNTIF('261014'!$I$18:$I$47,$C162)</f>
        <v>0</v>
      </c>
      <c r="S162" s="17">
        <f>COUNTIF('261015'!$C$18:$C$47,$C162)+COUNTIF('261015'!$I$18:$I$47,$C162)</f>
        <v>0</v>
      </c>
      <c r="T162" s="17">
        <f>COUNTIF('261016'!$C$18:$C$47,$C162)+COUNTIF('261016'!$I$18:$I$47,$C162)</f>
        <v>0</v>
      </c>
      <c r="U162" s="17">
        <f>COUNTIF('261017'!$C$18:$C$47,$C162)+COUNTIF('261017'!$I$18:$I$47,$C162)</f>
        <v>0</v>
      </c>
      <c r="V162" s="17">
        <f>COUNTIF('261018'!$C$18:$C$47,$C162)+COUNTIF('261018'!$I$18:$I$47,$C162)</f>
        <v>0</v>
      </c>
      <c r="W162" s="17">
        <f>COUNTIF('261019'!$C$18:$C$47,$C162)+COUNTIF('261019'!$I$18:$I$47,$C162)</f>
        <v>0</v>
      </c>
      <c r="X162" s="17">
        <f>COUNTIF('261020'!$C$18:$C$47,$C162)+COUNTIF('261020'!$I$18:$I$47,$C162)</f>
        <v>0</v>
      </c>
      <c r="Y162" s="17">
        <f>COUNTIF('261021'!$C$18:$C$47,$C162)+COUNTIF('261021'!$I$18:$I$47,$C162)</f>
        <v>0</v>
      </c>
      <c r="Z162" s="17">
        <f>COUNTIF('261022'!$C$18:$C$47,$C162)+COUNTIF('261022'!$I$18:$I$47,$C162)</f>
        <v>0</v>
      </c>
      <c r="AA162" s="17">
        <f>COUNTIF('261023'!$C$18:$C$47,$C162)+COUNTIF('261023'!$I$18:$I$47,$C162)</f>
        <v>0</v>
      </c>
      <c r="AB162" s="17">
        <f>COUNTIF('261024'!$C$18:$C$47,$C162)+COUNTIF('261024'!$I$18:$I$47,$C162)</f>
        <v>0</v>
      </c>
      <c r="AC162" s="17">
        <f>COUNTIF('261025'!$C$18:$C$47,$C162)+COUNTIF('261025'!$I$18:$I$47,$C162)</f>
        <v>0</v>
      </c>
      <c r="AD162" s="17">
        <f>COUNTIF('261026'!$C$18:$C$47,$C162)+COUNTIF('261026'!$I$18:$I$47,$C162)</f>
        <v>0</v>
      </c>
      <c r="AE162" s="17">
        <f>COUNTIF('261027'!$C$18:$C$47,$C162)+COUNTIF('261027'!$I$18:$I$47,$C162)</f>
        <v>0</v>
      </c>
      <c r="AF162" s="17">
        <f>COUNTIF('261028'!$C$18:$C$47,$C162)+COUNTIF('261028'!$I$18:$I$47,$C162)</f>
        <v>0</v>
      </c>
      <c r="AG162" s="17">
        <f>COUNTIF('261029'!$C$18:$C$47,$C162)+COUNTIF('261029'!$I$18:$I$47,$C162)</f>
        <v>0</v>
      </c>
      <c r="AH162" s="17">
        <f>COUNTIF('261030'!$C$18:$C$47,$C162)+COUNTIF('261030'!$I$18:$I$47,$C162)</f>
        <v>0</v>
      </c>
      <c r="AI162" s="17">
        <f>COUNTIF('261031'!$C$18:$C$47,$C162)+COUNTIF('261031'!$I$18:$I$47,$C162)</f>
        <v>0</v>
      </c>
      <c r="AJ162" s="52">
        <f t="shared" si="7"/>
        <v>0</v>
      </c>
      <c r="AL162" s="16"/>
      <c r="AM162" s="16"/>
    </row>
    <row r="163" spans="2:39" ht="20.100000000000001" customHeight="1" x14ac:dyDescent="0.3">
      <c r="B163" s="36">
        <f t="shared" si="6"/>
        <v>159</v>
      </c>
      <c r="C163" s="19"/>
      <c r="D163" s="19"/>
      <c r="E163" s="17">
        <f>COUNTIF('261001'!$C$18:$C$47,$C163)+COUNTIF('261001'!$I$18:$I$47,$C163)</f>
        <v>0</v>
      </c>
      <c r="F163" s="17">
        <f>COUNTIF('261002'!$C$18:$C$47,$C163)+COUNTIF('261002'!$I$18:$I$47,$C163)</f>
        <v>0</v>
      </c>
      <c r="G163" s="17">
        <f>COUNTIF('261003'!$C$18:$C$47,$C163)+COUNTIF('261003'!$I$18:$I$47,$C163)</f>
        <v>0</v>
      </c>
      <c r="H163" s="17">
        <f>COUNTIF('261004'!$C$18:$C$47,$C163)+COUNTIF('261004'!$I$18:$I$47,$C163)</f>
        <v>0</v>
      </c>
      <c r="I163" s="17">
        <f>COUNTIF('261005'!$C$18:$C$47,$C163)+COUNTIF('261005'!$I$18:$I$47,$C163)</f>
        <v>0</v>
      </c>
      <c r="J163" s="17">
        <f>COUNTIF('261006'!$C$18:$C$47,$C163)+COUNTIF('261006'!$I$18:$I$47,$C163)</f>
        <v>0</v>
      </c>
      <c r="K163" s="17">
        <f>COUNTIF('261007'!$C$18:$C$47,$C163)+COUNTIF('261007'!$I$18:$I$47,$C163)</f>
        <v>0</v>
      </c>
      <c r="L163" s="17">
        <f>COUNTIF('261008'!$C$18:$C$47,$C163)+COUNTIF('261008'!$I$18:$I$47,$C163)</f>
        <v>0</v>
      </c>
      <c r="M163" s="17">
        <f>COUNTIF('261009'!$C$18:$C$47,$C163)+COUNTIF('261009'!$I$18:$I$47,$C163)</f>
        <v>0</v>
      </c>
      <c r="N163" s="17">
        <f>COUNTIF('261010'!$C$18:$C$47,$C163)+COUNTIF('261010'!$I$18:$I$47,$C163)</f>
        <v>0</v>
      </c>
      <c r="O163" s="17">
        <f>COUNTIF('261011'!$C$18:$C$47,$C163)+COUNTIF('261011'!$I$18:$I$47,$C163)</f>
        <v>0</v>
      </c>
      <c r="P163" s="17">
        <f>COUNTIF('261012'!$C$18:$C$47,$C163)+COUNTIF('261012'!$I$18:$I$47,$C163)</f>
        <v>0</v>
      </c>
      <c r="Q163" s="17">
        <f>COUNTIF('261013'!$C$18:$C$47,$C163)+COUNTIF('261013'!$I$18:$I$47,$C163)</f>
        <v>0</v>
      </c>
      <c r="R163" s="17">
        <f>COUNTIF('261014'!$C$18:$C$47,$C163)+COUNTIF('261014'!$I$18:$I$47,$C163)</f>
        <v>0</v>
      </c>
      <c r="S163" s="17">
        <f>COUNTIF('261015'!$C$18:$C$47,$C163)+COUNTIF('261015'!$I$18:$I$47,$C163)</f>
        <v>0</v>
      </c>
      <c r="T163" s="17">
        <f>COUNTIF('261016'!$C$18:$C$47,$C163)+COUNTIF('261016'!$I$18:$I$47,$C163)</f>
        <v>0</v>
      </c>
      <c r="U163" s="17">
        <f>COUNTIF('261017'!$C$18:$C$47,$C163)+COUNTIF('261017'!$I$18:$I$47,$C163)</f>
        <v>0</v>
      </c>
      <c r="V163" s="17">
        <f>COUNTIF('261018'!$C$18:$C$47,$C163)+COUNTIF('261018'!$I$18:$I$47,$C163)</f>
        <v>0</v>
      </c>
      <c r="W163" s="17">
        <f>COUNTIF('261019'!$C$18:$C$47,$C163)+COUNTIF('261019'!$I$18:$I$47,$C163)</f>
        <v>0</v>
      </c>
      <c r="X163" s="17">
        <f>COUNTIF('261020'!$C$18:$C$47,$C163)+COUNTIF('261020'!$I$18:$I$47,$C163)</f>
        <v>0</v>
      </c>
      <c r="Y163" s="17">
        <f>COUNTIF('261021'!$C$18:$C$47,$C163)+COUNTIF('261021'!$I$18:$I$47,$C163)</f>
        <v>0</v>
      </c>
      <c r="Z163" s="17">
        <f>COUNTIF('261022'!$C$18:$C$47,$C163)+COUNTIF('261022'!$I$18:$I$47,$C163)</f>
        <v>0</v>
      </c>
      <c r="AA163" s="17">
        <f>COUNTIF('261023'!$C$18:$C$47,$C163)+COUNTIF('261023'!$I$18:$I$47,$C163)</f>
        <v>0</v>
      </c>
      <c r="AB163" s="17">
        <f>COUNTIF('261024'!$C$18:$C$47,$C163)+COUNTIF('261024'!$I$18:$I$47,$C163)</f>
        <v>0</v>
      </c>
      <c r="AC163" s="17">
        <f>COUNTIF('261025'!$C$18:$C$47,$C163)+COUNTIF('261025'!$I$18:$I$47,$C163)</f>
        <v>0</v>
      </c>
      <c r="AD163" s="17">
        <f>COUNTIF('261026'!$C$18:$C$47,$C163)+COUNTIF('261026'!$I$18:$I$47,$C163)</f>
        <v>0</v>
      </c>
      <c r="AE163" s="17">
        <f>COUNTIF('261027'!$C$18:$C$47,$C163)+COUNTIF('261027'!$I$18:$I$47,$C163)</f>
        <v>0</v>
      </c>
      <c r="AF163" s="17">
        <f>COUNTIF('261028'!$C$18:$C$47,$C163)+COUNTIF('261028'!$I$18:$I$47,$C163)</f>
        <v>0</v>
      </c>
      <c r="AG163" s="17">
        <f>COUNTIF('261029'!$C$18:$C$47,$C163)+COUNTIF('261029'!$I$18:$I$47,$C163)</f>
        <v>0</v>
      </c>
      <c r="AH163" s="17">
        <f>COUNTIF('261030'!$C$18:$C$47,$C163)+COUNTIF('261030'!$I$18:$I$47,$C163)</f>
        <v>0</v>
      </c>
      <c r="AI163" s="17">
        <f>COUNTIF('261031'!$C$18:$C$47,$C163)+COUNTIF('261031'!$I$18:$I$47,$C163)</f>
        <v>0</v>
      </c>
      <c r="AJ163" s="52">
        <f t="shared" si="7"/>
        <v>0</v>
      </c>
      <c r="AL163" s="16"/>
      <c r="AM163" s="16"/>
    </row>
    <row r="164" spans="2:39" ht="20.100000000000001" customHeight="1" x14ac:dyDescent="0.3">
      <c r="B164" s="36">
        <f t="shared" si="6"/>
        <v>160</v>
      </c>
      <c r="C164" s="19"/>
      <c r="D164" s="19"/>
      <c r="E164" s="17">
        <f>COUNTIF('261001'!$C$18:$C$47,$C164)+COUNTIF('261001'!$I$18:$I$47,$C164)</f>
        <v>0</v>
      </c>
      <c r="F164" s="17">
        <f>COUNTIF('261002'!$C$18:$C$47,$C164)+COUNTIF('261002'!$I$18:$I$47,$C164)</f>
        <v>0</v>
      </c>
      <c r="G164" s="17">
        <f>COUNTIF('261003'!$C$18:$C$47,$C164)+COUNTIF('261003'!$I$18:$I$47,$C164)</f>
        <v>0</v>
      </c>
      <c r="H164" s="17">
        <f>COUNTIF('261004'!$C$18:$C$47,$C164)+COUNTIF('261004'!$I$18:$I$47,$C164)</f>
        <v>0</v>
      </c>
      <c r="I164" s="17">
        <f>COUNTIF('261005'!$C$18:$C$47,$C164)+COUNTIF('261005'!$I$18:$I$47,$C164)</f>
        <v>0</v>
      </c>
      <c r="J164" s="17">
        <f>COUNTIF('261006'!$C$18:$C$47,$C164)+COUNTIF('261006'!$I$18:$I$47,$C164)</f>
        <v>0</v>
      </c>
      <c r="K164" s="17">
        <f>COUNTIF('261007'!$C$18:$C$47,$C164)+COUNTIF('261007'!$I$18:$I$47,$C164)</f>
        <v>0</v>
      </c>
      <c r="L164" s="17">
        <f>COUNTIF('261008'!$C$18:$C$47,$C164)+COUNTIF('261008'!$I$18:$I$47,$C164)</f>
        <v>0</v>
      </c>
      <c r="M164" s="17">
        <f>COUNTIF('261009'!$C$18:$C$47,$C164)+COUNTIF('261009'!$I$18:$I$47,$C164)</f>
        <v>0</v>
      </c>
      <c r="N164" s="17">
        <f>COUNTIF('261010'!$C$18:$C$47,$C164)+COUNTIF('261010'!$I$18:$I$47,$C164)</f>
        <v>0</v>
      </c>
      <c r="O164" s="17">
        <f>COUNTIF('261011'!$C$18:$C$47,$C164)+COUNTIF('261011'!$I$18:$I$47,$C164)</f>
        <v>0</v>
      </c>
      <c r="P164" s="17">
        <f>COUNTIF('261012'!$C$18:$C$47,$C164)+COUNTIF('261012'!$I$18:$I$47,$C164)</f>
        <v>0</v>
      </c>
      <c r="Q164" s="17">
        <f>COUNTIF('261013'!$C$18:$C$47,$C164)+COUNTIF('261013'!$I$18:$I$47,$C164)</f>
        <v>0</v>
      </c>
      <c r="R164" s="17">
        <f>COUNTIF('261014'!$C$18:$C$47,$C164)+COUNTIF('261014'!$I$18:$I$47,$C164)</f>
        <v>0</v>
      </c>
      <c r="S164" s="17">
        <f>COUNTIF('261015'!$C$18:$C$47,$C164)+COUNTIF('261015'!$I$18:$I$47,$C164)</f>
        <v>0</v>
      </c>
      <c r="T164" s="17">
        <f>COUNTIF('261016'!$C$18:$C$47,$C164)+COUNTIF('261016'!$I$18:$I$47,$C164)</f>
        <v>0</v>
      </c>
      <c r="U164" s="17">
        <f>COUNTIF('261017'!$C$18:$C$47,$C164)+COUNTIF('261017'!$I$18:$I$47,$C164)</f>
        <v>0</v>
      </c>
      <c r="V164" s="17">
        <f>COUNTIF('261018'!$C$18:$C$47,$C164)+COUNTIF('261018'!$I$18:$I$47,$C164)</f>
        <v>0</v>
      </c>
      <c r="W164" s="17">
        <f>COUNTIF('261019'!$C$18:$C$47,$C164)+COUNTIF('261019'!$I$18:$I$47,$C164)</f>
        <v>0</v>
      </c>
      <c r="X164" s="17">
        <f>COUNTIF('261020'!$C$18:$C$47,$C164)+COUNTIF('261020'!$I$18:$I$47,$C164)</f>
        <v>0</v>
      </c>
      <c r="Y164" s="17">
        <f>COUNTIF('261021'!$C$18:$C$47,$C164)+COUNTIF('261021'!$I$18:$I$47,$C164)</f>
        <v>0</v>
      </c>
      <c r="Z164" s="17">
        <f>COUNTIF('261022'!$C$18:$C$47,$C164)+COUNTIF('261022'!$I$18:$I$47,$C164)</f>
        <v>0</v>
      </c>
      <c r="AA164" s="17">
        <f>COUNTIF('261023'!$C$18:$C$47,$C164)+COUNTIF('261023'!$I$18:$I$47,$C164)</f>
        <v>0</v>
      </c>
      <c r="AB164" s="17">
        <f>COUNTIF('261024'!$C$18:$C$47,$C164)+COUNTIF('261024'!$I$18:$I$47,$C164)</f>
        <v>0</v>
      </c>
      <c r="AC164" s="17">
        <f>COUNTIF('261025'!$C$18:$C$47,$C164)+COUNTIF('261025'!$I$18:$I$47,$C164)</f>
        <v>0</v>
      </c>
      <c r="AD164" s="17">
        <f>COUNTIF('261026'!$C$18:$C$47,$C164)+COUNTIF('261026'!$I$18:$I$47,$C164)</f>
        <v>0</v>
      </c>
      <c r="AE164" s="17">
        <f>COUNTIF('261027'!$C$18:$C$47,$C164)+COUNTIF('261027'!$I$18:$I$47,$C164)</f>
        <v>0</v>
      </c>
      <c r="AF164" s="17">
        <f>COUNTIF('261028'!$C$18:$C$47,$C164)+COUNTIF('261028'!$I$18:$I$47,$C164)</f>
        <v>0</v>
      </c>
      <c r="AG164" s="17">
        <f>COUNTIF('261029'!$C$18:$C$47,$C164)+COUNTIF('261029'!$I$18:$I$47,$C164)</f>
        <v>0</v>
      </c>
      <c r="AH164" s="17">
        <f>COUNTIF('261030'!$C$18:$C$47,$C164)+COUNTIF('261030'!$I$18:$I$47,$C164)</f>
        <v>0</v>
      </c>
      <c r="AI164" s="17">
        <f>COUNTIF('261031'!$C$18:$C$47,$C164)+COUNTIF('261031'!$I$18:$I$47,$C164)</f>
        <v>0</v>
      </c>
      <c r="AJ164" s="52">
        <f t="shared" ref="AJ164:AJ203" si="8">SUM(E164:AI164)</f>
        <v>0</v>
      </c>
      <c r="AL164" s="16"/>
      <c r="AM164" s="16"/>
    </row>
    <row r="165" spans="2:39" ht="20.100000000000001" customHeight="1" x14ac:dyDescent="0.3">
      <c r="B165" s="36">
        <f t="shared" si="6"/>
        <v>161</v>
      </c>
      <c r="C165" s="19"/>
      <c r="D165" s="19"/>
      <c r="E165" s="17">
        <f>COUNTIF('261001'!$C$18:$C$47,$C165)+COUNTIF('261001'!$I$18:$I$47,$C165)</f>
        <v>0</v>
      </c>
      <c r="F165" s="17">
        <f>COUNTIF('261002'!$C$18:$C$47,$C165)+COUNTIF('261002'!$I$18:$I$47,$C165)</f>
        <v>0</v>
      </c>
      <c r="G165" s="17">
        <f>COUNTIF('261003'!$C$18:$C$47,$C165)+COUNTIF('261003'!$I$18:$I$47,$C165)</f>
        <v>0</v>
      </c>
      <c r="H165" s="17">
        <f>COUNTIF('261004'!$C$18:$C$47,$C165)+COUNTIF('261004'!$I$18:$I$47,$C165)</f>
        <v>0</v>
      </c>
      <c r="I165" s="17">
        <f>COUNTIF('261005'!$C$18:$C$47,$C165)+COUNTIF('261005'!$I$18:$I$47,$C165)</f>
        <v>0</v>
      </c>
      <c r="J165" s="17">
        <f>COUNTIF('261006'!$C$18:$C$47,$C165)+COUNTIF('261006'!$I$18:$I$47,$C165)</f>
        <v>0</v>
      </c>
      <c r="K165" s="17">
        <f>COUNTIF('261007'!$C$18:$C$47,$C165)+COUNTIF('261007'!$I$18:$I$47,$C165)</f>
        <v>0</v>
      </c>
      <c r="L165" s="17">
        <f>COUNTIF('261008'!$C$18:$C$47,$C165)+COUNTIF('261008'!$I$18:$I$47,$C165)</f>
        <v>0</v>
      </c>
      <c r="M165" s="17">
        <f>COUNTIF('261009'!$C$18:$C$47,$C165)+COUNTIF('261009'!$I$18:$I$47,$C165)</f>
        <v>0</v>
      </c>
      <c r="N165" s="17">
        <f>COUNTIF('261010'!$C$18:$C$47,$C165)+COUNTIF('261010'!$I$18:$I$47,$C165)</f>
        <v>0</v>
      </c>
      <c r="O165" s="17">
        <f>COUNTIF('261011'!$C$18:$C$47,$C165)+COUNTIF('261011'!$I$18:$I$47,$C165)</f>
        <v>0</v>
      </c>
      <c r="P165" s="17">
        <f>COUNTIF('261012'!$C$18:$C$47,$C165)+COUNTIF('261012'!$I$18:$I$47,$C165)</f>
        <v>0</v>
      </c>
      <c r="Q165" s="17">
        <f>COUNTIF('261013'!$C$18:$C$47,$C165)+COUNTIF('261013'!$I$18:$I$47,$C165)</f>
        <v>0</v>
      </c>
      <c r="R165" s="17">
        <f>COUNTIF('261014'!$C$18:$C$47,$C165)+COUNTIF('261014'!$I$18:$I$47,$C165)</f>
        <v>0</v>
      </c>
      <c r="S165" s="17">
        <f>COUNTIF('261015'!$C$18:$C$47,$C165)+COUNTIF('261015'!$I$18:$I$47,$C165)</f>
        <v>0</v>
      </c>
      <c r="T165" s="17">
        <f>COUNTIF('261016'!$C$18:$C$47,$C165)+COUNTIF('261016'!$I$18:$I$47,$C165)</f>
        <v>0</v>
      </c>
      <c r="U165" s="17">
        <f>COUNTIF('261017'!$C$18:$C$47,$C165)+COUNTIF('261017'!$I$18:$I$47,$C165)</f>
        <v>0</v>
      </c>
      <c r="V165" s="17">
        <f>COUNTIF('261018'!$C$18:$C$47,$C165)+COUNTIF('261018'!$I$18:$I$47,$C165)</f>
        <v>0</v>
      </c>
      <c r="W165" s="17">
        <f>COUNTIF('261019'!$C$18:$C$47,$C165)+COUNTIF('261019'!$I$18:$I$47,$C165)</f>
        <v>0</v>
      </c>
      <c r="X165" s="17">
        <f>COUNTIF('261020'!$C$18:$C$47,$C165)+COUNTIF('261020'!$I$18:$I$47,$C165)</f>
        <v>0</v>
      </c>
      <c r="Y165" s="17">
        <f>COUNTIF('261021'!$C$18:$C$47,$C165)+COUNTIF('261021'!$I$18:$I$47,$C165)</f>
        <v>0</v>
      </c>
      <c r="Z165" s="17">
        <f>COUNTIF('261022'!$C$18:$C$47,$C165)+COUNTIF('261022'!$I$18:$I$47,$C165)</f>
        <v>0</v>
      </c>
      <c r="AA165" s="17">
        <f>COUNTIF('261023'!$C$18:$C$47,$C165)+COUNTIF('261023'!$I$18:$I$47,$C165)</f>
        <v>0</v>
      </c>
      <c r="AB165" s="17">
        <f>COUNTIF('261024'!$C$18:$C$47,$C165)+COUNTIF('261024'!$I$18:$I$47,$C165)</f>
        <v>0</v>
      </c>
      <c r="AC165" s="17">
        <f>COUNTIF('261025'!$C$18:$C$47,$C165)+COUNTIF('261025'!$I$18:$I$47,$C165)</f>
        <v>0</v>
      </c>
      <c r="AD165" s="17">
        <f>COUNTIF('261026'!$C$18:$C$47,$C165)+COUNTIF('261026'!$I$18:$I$47,$C165)</f>
        <v>0</v>
      </c>
      <c r="AE165" s="17">
        <f>COUNTIF('261027'!$C$18:$C$47,$C165)+COUNTIF('261027'!$I$18:$I$47,$C165)</f>
        <v>0</v>
      </c>
      <c r="AF165" s="17">
        <f>COUNTIF('261028'!$C$18:$C$47,$C165)+COUNTIF('261028'!$I$18:$I$47,$C165)</f>
        <v>0</v>
      </c>
      <c r="AG165" s="17">
        <f>COUNTIF('261029'!$C$18:$C$47,$C165)+COUNTIF('261029'!$I$18:$I$47,$C165)</f>
        <v>0</v>
      </c>
      <c r="AH165" s="17">
        <f>COUNTIF('261030'!$C$18:$C$47,$C165)+COUNTIF('261030'!$I$18:$I$47,$C165)</f>
        <v>0</v>
      </c>
      <c r="AI165" s="17">
        <f>COUNTIF('261031'!$C$18:$C$47,$C165)+COUNTIF('261031'!$I$18:$I$47,$C165)</f>
        <v>0</v>
      </c>
      <c r="AJ165" s="52">
        <f t="shared" si="8"/>
        <v>0</v>
      </c>
      <c r="AL165" s="16"/>
      <c r="AM165" s="16"/>
    </row>
    <row r="166" spans="2:39" ht="20.100000000000001" customHeight="1" x14ac:dyDescent="0.3">
      <c r="B166" s="36">
        <f t="shared" si="6"/>
        <v>162</v>
      </c>
      <c r="C166" s="19"/>
      <c r="D166" s="19"/>
      <c r="E166" s="17">
        <f>COUNTIF('261001'!$C$18:$C$47,$C166)+COUNTIF('261001'!$I$18:$I$47,$C166)</f>
        <v>0</v>
      </c>
      <c r="F166" s="17">
        <f>COUNTIF('261002'!$C$18:$C$47,$C166)+COUNTIF('261002'!$I$18:$I$47,$C166)</f>
        <v>0</v>
      </c>
      <c r="G166" s="17">
        <f>COUNTIF('261003'!$C$18:$C$47,$C166)+COUNTIF('261003'!$I$18:$I$47,$C166)</f>
        <v>0</v>
      </c>
      <c r="H166" s="17">
        <f>COUNTIF('261004'!$C$18:$C$47,$C166)+COUNTIF('261004'!$I$18:$I$47,$C166)</f>
        <v>0</v>
      </c>
      <c r="I166" s="17">
        <f>COUNTIF('261005'!$C$18:$C$47,$C166)+COUNTIF('261005'!$I$18:$I$47,$C166)</f>
        <v>0</v>
      </c>
      <c r="J166" s="17">
        <f>COUNTIF('261006'!$C$18:$C$47,$C166)+COUNTIF('261006'!$I$18:$I$47,$C166)</f>
        <v>0</v>
      </c>
      <c r="K166" s="17">
        <f>COUNTIF('261007'!$C$18:$C$47,$C166)+COUNTIF('261007'!$I$18:$I$47,$C166)</f>
        <v>0</v>
      </c>
      <c r="L166" s="17">
        <f>COUNTIF('261008'!$C$18:$C$47,$C166)+COUNTIF('261008'!$I$18:$I$47,$C166)</f>
        <v>0</v>
      </c>
      <c r="M166" s="17">
        <f>COUNTIF('261009'!$C$18:$C$47,$C166)+COUNTIF('261009'!$I$18:$I$47,$C166)</f>
        <v>0</v>
      </c>
      <c r="N166" s="17">
        <f>COUNTIF('261010'!$C$18:$C$47,$C166)+COUNTIF('261010'!$I$18:$I$47,$C166)</f>
        <v>0</v>
      </c>
      <c r="O166" s="17">
        <f>COUNTIF('261011'!$C$18:$C$47,$C166)+COUNTIF('261011'!$I$18:$I$47,$C166)</f>
        <v>0</v>
      </c>
      <c r="P166" s="17">
        <f>COUNTIF('261012'!$C$18:$C$47,$C166)+COUNTIF('261012'!$I$18:$I$47,$C166)</f>
        <v>0</v>
      </c>
      <c r="Q166" s="17">
        <f>COUNTIF('261013'!$C$18:$C$47,$C166)+COUNTIF('261013'!$I$18:$I$47,$C166)</f>
        <v>0</v>
      </c>
      <c r="R166" s="17">
        <f>COUNTIF('261014'!$C$18:$C$47,$C166)+COUNTIF('261014'!$I$18:$I$47,$C166)</f>
        <v>0</v>
      </c>
      <c r="S166" s="17">
        <f>COUNTIF('261015'!$C$18:$C$47,$C166)+COUNTIF('261015'!$I$18:$I$47,$C166)</f>
        <v>0</v>
      </c>
      <c r="T166" s="17">
        <f>COUNTIF('261016'!$C$18:$C$47,$C166)+COUNTIF('261016'!$I$18:$I$47,$C166)</f>
        <v>0</v>
      </c>
      <c r="U166" s="17">
        <f>COUNTIF('261017'!$C$18:$C$47,$C166)+COUNTIF('261017'!$I$18:$I$47,$C166)</f>
        <v>0</v>
      </c>
      <c r="V166" s="17">
        <f>COUNTIF('261018'!$C$18:$C$47,$C166)+COUNTIF('261018'!$I$18:$I$47,$C166)</f>
        <v>0</v>
      </c>
      <c r="W166" s="17">
        <f>COUNTIF('261019'!$C$18:$C$47,$C166)+COUNTIF('261019'!$I$18:$I$47,$C166)</f>
        <v>0</v>
      </c>
      <c r="X166" s="17">
        <f>COUNTIF('261020'!$C$18:$C$47,$C166)+COUNTIF('261020'!$I$18:$I$47,$C166)</f>
        <v>0</v>
      </c>
      <c r="Y166" s="17">
        <f>COUNTIF('261021'!$C$18:$C$47,$C166)+COUNTIF('261021'!$I$18:$I$47,$C166)</f>
        <v>0</v>
      </c>
      <c r="Z166" s="17">
        <f>COUNTIF('261022'!$C$18:$C$47,$C166)+COUNTIF('261022'!$I$18:$I$47,$C166)</f>
        <v>0</v>
      </c>
      <c r="AA166" s="17">
        <f>COUNTIF('261023'!$C$18:$C$47,$C166)+COUNTIF('261023'!$I$18:$I$47,$C166)</f>
        <v>0</v>
      </c>
      <c r="AB166" s="17">
        <f>COUNTIF('261024'!$C$18:$C$47,$C166)+COUNTIF('261024'!$I$18:$I$47,$C166)</f>
        <v>0</v>
      </c>
      <c r="AC166" s="17">
        <f>COUNTIF('261025'!$C$18:$C$47,$C166)+COUNTIF('261025'!$I$18:$I$47,$C166)</f>
        <v>0</v>
      </c>
      <c r="AD166" s="17">
        <f>COUNTIF('261026'!$C$18:$C$47,$C166)+COUNTIF('261026'!$I$18:$I$47,$C166)</f>
        <v>0</v>
      </c>
      <c r="AE166" s="17">
        <f>COUNTIF('261027'!$C$18:$C$47,$C166)+COUNTIF('261027'!$I$18:$I$47,$C166)</f>
        <v>0</v>
      </c>
      <c r="AF166" s="17">
        <f>COUNTIF('261028'!$C$18:$C$47,$C166)+COUNTIF('261028'!$I$18:$I$47,$C166)</f>
        <v>0</v>
      </c>
      <c r="AG166" s="17">
        <f>COUNTIF('261029'!$C$18:$C$47,$C166)+COUNTIF('261029'!$I$18:$I$47,$C166)</f>
        <v>0</v>
      </c>
      <c r="AH166" s="17">
        <f>COUNTIF('261030'!$C$18:$C$47,$C166)+COUNTIF('261030'!$I$18:$I$47,$C166)</f>
        <v>0</v>
      </c>
      <c r="AI166" s="17">
        <f>COUNTIF('261031'!$C$18:$C$47,$C166)+COUNTIF('261031'!$I$18:$I$47,$C166)</f>
        <v>0</v>
      </c>
      <c r="AJ166" s="52">
        <f t="shared" si="8"/>
        <v>0</v>
      </c>
      <c r="AL166" s="16"/>
      <c r="AM166" s="16"/>
    </row>
    <row r="167" spans="2:39" ht="20.100000000000001" customHeight="1" x14ac:dyDescent="0.3">
      <c r="B167" s="36">
        <f t="shared" si="6"/>
        <v>163</v>
      </c>
      <c r="C167" s="19"/>
      <c r="D167" s="19"/>
      <c r="E167" s="17">
        <f>COUNTIF('261001'!$C$18:$C$47,$C167)+COUNTIF('261001'!$I$18:$I$47,$C167)</f>
        <v>0</v>
      </c>
      <c r="F167" s="17">
        <f>COUNTIF('261002'!$C$18:$C$47,$C167)+COUNTIF('261002'!$I$18:$I$47,$C167)</f>
        <v>0</v>
      </c>
      <c r="G167" s="17">
        <f>COUNTIF('261003'!$C$18:$C$47,$C167)+COUNTIF('261003'!$I$18:$I$47,$C167)</f>
        <v>0</v>
      </c>
      <c r="H167" s="17">
        <f>COUNTIF('261004'!$C$18:$C$47,$C167)+COUNTIF('261004'!$I$18:$I$47,$C167)</f>
        <v>0</v>
      </c>
      <c r="I167" s="17">
        <f>COUNTIF('261005'!$C$18:$C$47,$C167)+COUNTIF('261005'!$I$18:$I$47,$C167)</f>
        <v>0</v>
      </c>
      <c r="J167" s="17">
        <f>COUNTIF('261006'!$C$18:$C$47,$C167)+COUNTIF('261006'!$I$18:$I$47,$C167)</f>
        <v>0</v>
      </c>
      <c r="K167" s="17">
        <f>COUNTIF('261007'!$C$18:$C$47,$C167)+COUNTIF('261007'!$I$18:$I$47,$C167)</f>
        <v>0</v>
      </c>
      <c r="L167" s="17">
        <f>COUNTIF('261008'!$C$18:$C$47,$C167)+COUNTIF('261008'!$I$18:$I$47,$C167)</f>
        <v>0</v>
      </c>
      <c r="M167" s="17">
        <f>COUNTIF('261009'!$C$18:$C$47,$C167)+COUNTIF('261009'!$I$18:$I$47,$C167)</f>
        <v>0</v>
      </c>
      <c r="N167" s="17">
        <f>COUNTIF('261010'!$C$18:$C$47,$C167)+COUNTIF('261010'!$I$18:$I$47,$C167)</f>
        <v>0</v>
      </c>
      <c r="O167" s="17">
        <f>COUNTIF('261011'!$C$18:$C$47,$C167)+COUNTIF('261011'!$I$18:$I$47,$C167)</f>
        <v>0</v>
      </c>
      <c r="P167" s="17">
        <f>COUNTIF('261012'!$C$18:$C$47,$C167)+COUNTIF('261012'!$I$18:$I$47,$C167)</f>
        <v>0</v>
      </c>
      <c r="Q167" s="17">
        <f>COUNTIF('261013'!$C$18:$C$47,$C167)+COUNTIF('261013'!$I$18:$I$47,$C167)</f>
        <v>0</v>
      </c>
      <c r="R167" s="17">
        <f>COUNTIF('261014'!$C$18:$C$47,$C167)+COUNTIF('261014'!$I$18:$I$47,$C167)</f>
        <v>0</v>
      </c>
      <c r="S167" s="17">
        <f>COUNTIF('261015'!$C$18:$C$47,$C167)+COUNTIF('261015'!$I$18:$I$47,$C167)</f>
        <v>0</v>
      </c>
      <c r="T167" s="17">
        <f>COUNTIF('261016'!$C$18:$C$47,$C167)+COUNTIF('261016'!$I$18:$I$47,$C167)</f>
        <v>0</v>
      </c>
      <c r="U167" s="17">
        <f>COUNTIF('261017'!$C$18:$C$47,$C167)+COUNTIF('261017'!$I$18:$I$47,$C167)</f>
        <v>0</v>
      </c>
      <c r="V167" s="17">
        <f>COUNTIF('261018'!$C$18:$C$47,$C167)+COUNTIF('261018'!$I$18:$I$47,$C167)</f>
        <v>0</v>
      </c>
      <c r="W167" s="17">
        <f>COUNTIF('261019'!$C$18:$C$47,$C167)+COUNTIF('261019'!$I$18:$I$47,$C167)</f>
        <v>0</v>
      </c>
      <c r="X167" s="17">
        <f>COUNTIF('261020'!$C$18:$C$47,$C167)+COUNTIF('261020'!$I$18:$I$47,$C167)</f>
        <v>0</v>
      </c>
      <c r="Y167" s="17">
        <f>COUNTIF('261021'!$C$18:$C$47,$C167)+COUNTIF('261021'!$I$18:$I$47,$C167)</f>
        <v>0</v>
      </c>
      <c r="Z167" s="17">
        <f>COUNTIF('261022'!$C$18:$C$47,$C167)+COUNTIF('261022'!$I$18:$I$47,$C167)</f>
        <v>0</v>
      </c>
      <c r="AA167" s="17">
        <f>COUNTIF('261023'!$C$18:$C$47,$C167)+COUNTIF('261023'!$I$18:$I$47,$C167)</f>
        <v>0</v>
      </c>
      <c r="AB167" s="17">
        <f>COUNTIF('261024'!$C$18:$C$47,$C167)+COUNTIF('261024'!$I$18:$I$47,$C167)</f>
        <v>0</v>
      </c>
      <c r="AC167" s="17">
        <f>COUNTIF('261025'!$C$18:$C$47,$C167)+COUNTIF('261025'!$I$18:$I$47,$C167)</f>
        <v>0</v>
      </c>
      <c r="AD167" s="17">
        <f>COUNTIF('261026'!$C$18:$C$47,$C167)+COUNTIF('261026'!$I$18:$I$47,$C167)</f>
        <v>0</v>
      </c>
      <c r="AE167" s="17">
        <f>COUNTIF('261027'!$C$18:$C$47,$C167)+COUNTIF('261027'!$I$18:$I$47,$C167)</f>
        <v>0</v>
      </c>
      <c r="AF167" s="17">
        <f>COUNTIF('261028'!$C$18:$C$47,$C167)+COUNTIF('261028'!$I$18:$I$47,$C167)</f>
        <v>0</v>
      </c>
      <c r="AG167" s="17">
        <f>COUNTIF('261029'!$C$18:$C$47,$C167)+COUNTIF('261029'!$I$18:$I$47,$C167)</f>
        <v>0</v>
      </c>
      <c r="AH167" s="17">
        <f>COUNTIF('261030'!$C$18:$C$47,$C167)+COUNTIF('261030'!$I$18:$I$47,$C167)</f>
        <v>0</v>
      </c>
      <c r="AI167" s="17">
        <f>COUNTIF('261031'!$C$18:$C$47,$C167)+COUNTIF('261031'!$I$18:$I$47,$C167)</f>
        <v>0</v>
      </c>
      <c r="AJ167" s="52">
        <f t="shared" si="8"/>
        <v>0</v>
      </c>
      <c r="AL167" s="16"/>
      <c r="AM167" s="16"/>
    </row>
    <row r="168" spans="2:39" ht="20.100000000000001" customHeight="1" x14ac:dyDescent="0.3">
      <c r="B168" s="36">
        <f t="shared" ref="B168:B204" si="9">B167+1</f>
        <v>164</v>
      </c>
      <c r="C168" s="19"/>
      <c r="D168" s="19"/>
      <c r="E168" s="17">
        <f>COUNTIF('261001'!$C$18:$C$47,$C168)+COUNTIF('261001'!$I$18:$I$47,$C168)</f>
        <v>0</v>
      </c>
      <c r="F168" s="17">
        <f>COUNTIF('261002'!$C$18:$C$47,$C168)+COUNTIF('261002'!$I$18:$I$47,$C168)</f>
        <v>0</v>
      </c>
      <c r="G168" s="17">
        <f>COUNTIF('261003'!$C$18:$C$47,$C168)+COUNTIF('261003'!$I$18:$I$47,$C168)</f>
        <v>0</v>
      </c>
      <c r="H168" s="17">
        <f>COUNTIF('261004'!$C$18:$C$47,$C168)+COUNTIF('261004'!$I$18:$I$47,$C168)</f>
        <v>0</v>
      </c>
      <c r="I168" s="17">
        <f>COUNTIF('261005'!$C$18:$C$47,$C168)+COUNTIF('261005'!$I$18:$I$47,$C168)</f>
        <v>0</v>
      </c>
      <c r="J168" s="17">
        <f>COUNTIF('261006'!$C$18:$C$47,$C168)+COUNTIF('261006'!$I$18:$I$47,$C168)</f>
        <v>0</v>
      </c>
      <c r="K168" s="17">
        <f>COUNTIF('261007'!$C$18:$C$47,$C168)+COUNTIF('261007'!$I$18:$I$47,$C168)</f>
        <v>0</v>
      </c>
      <c r="L168" s="17">
        <f>COUNTIF('261008'!$C$18:$C$47,$C168)+COUNTIF('261008'!$I$18:$I$47,$C168)</f>
        <v>0</v>
      </c>
      <c r="M168" s="17">
        <f>COUNTIF('261009'!$C$18:$C$47,$C168)+COUNTIF('261009'!$I$18:$I$47,$C168)</f>
        <v>0</v>
      </c>
      <c r="N168" s="17">
        <f>COUNTIF('261010'!$C$18:$C$47,$C168)+COUNTIF('261010'!$I$18:$I$47,$C168)</f>
        <v>0</v>
      </c>
      <c r="O168" s="17">
        <f>COUNTIF('261011'!$C$18:$C$47,$C168)+COUNTIF('261011'!$I$18:$I$47,$C168)</f>
        <v>0</v>
      </c>
      <c r="P168" s="17">
        <f>COUNTIF('261012'!$C$18:$C$47,$C168)+COUNTIF('261012'!$I$18:$I$47,$C168)</f>
        <v>0</v>
      </c>
      <c r="Q168" s="17">
        <f>COUNTIF('261013'!$C$18:$C$47,$C168)+COUNTIF('261013'!$I$18:$I$47,$C168)</f>
        <v>0</v>
      </c>
      <c r="R168" s="17">
        <f>COUNTIF('261014'!$C$18:$C$47,$C168)+COUNTIF('261014'!$I$18:$I$47,$C168)</f>
        <v>0</v>
      </c>
      <c r="S168" s="17">
        <f>COUNTIF('261015'!$C$18:$C$47,$C168)+COUNTIF('261015'!$I$18:$I$47,$C168)</f>
        <v>0</v>
      </c>
      <c r="T168" s="17">
        <f>COUNTIF('261016'!$C$18:$C$47,$C168)+COUNTIF('261016'!$I$18:$I$47,$C168)</f>
        <v>0</v>
      </c>
      <c r="U168" s="17">
        <f>COUNTIF('261017'!$C$18:$C$47,$C168)+COUNTIF('261017'!$I$18:$I$47,$C168)</f>
        <v>0</v>
      </c>
      <c r="V168" s="17">
        <f>COUNTIF('261018'!$C$18:$C$47,$C168)+COUNTIF('261018'!$I$18:$I$47,$C168)</f>
        <v>0</v>
      </c>
      <c r="W168" s="17">
        <f>COUNTIF('261019'!$C$18:$C$47,$C168)+COUNTIF('261019'!$I$18:$I$47,$C168)</f>
        <v>0</v>
      </c>
      <c r="X168" s="17">
        <f>COUNTIF('261020'!$C$18:$C$47,$C168)+COUNTIF('261020'!$I$18:$I$47,$C168)</f>
        <v>0</v>
      </c>
      <c r="Y168" s="17">
        <f>COUNTIF('261021'!$C$18:$C$47,$C168)+COUNTIF('261021'!$I$18:$I$47,$C168)</f>
        <v>0</v>
      </c>
      <c r="Z168" s="17">
        <f>COUNTIF('261022'!$C$18:$C$47,$C168)+COUNTIF('261022'!$I$18:$I$47,$C168)</f>
        <v>0</v>
      </c>
      <c r="AA168" s="17">
        <f>COUNTIF('261023'!$C$18:$C$47,$C168)+COUNTIF('261023'!$I$18:$I$47,$C168)</f>
        <v>0</v>
      </c>
      <c r="AB168" s="17">
        <f>COUNTIF('261024'!$C$18:$C$47,$C168)+COUNTIF('261024'!$I$18:$I$47,$C168)</f>
        <v>0</v>
      </c>
      <c r="AC168" s="17">
        <f>COUNTIF('261025'!$C$18:$C$47,$C168)+COUNTIF('261025'!$I$18:$I$47,$C168)</f>
        <v>0</v>
      </c>
      <c r="AD168" s="17">
        <f>COUNTIF('261026'!$C$18:$C$47,$C168)+COUNTIF('261026'!$I$18:$I$47,$C168)</f>
        <v>0</v>
      </c>
      <c r="AE168" s="17">
        <f>COUNTIF('261027'!$C$18:$C$47,$C168)+COUNTIF('261027'!$I$18:$I$47,$C168)</f>
        <v>0</v>
      </c>
      <c r="AF168" s="17">
        <f>COUNTIF('261028'!$C$18:$C$47,$C168)+COUNTIF('261028'!$I$18:$I$47,$C168)</f>
        <v>0</v>
      </c>
      <c r="AG168" s="17">
        <f>COUNTIF('261029'!$C$18:$C$47,$C168)+COUNTIF('261029'!$I$18:$I$47,$C168)</f>
        <v>0</v>
      </c>
      <c r="AH168" s="17">
        <f>COUNTIF('261030'!$C$18:$C$47,$C168)+COUNTIF('261030'!$I$18:$I$47,$C168)</f>
        <v>0</v>
      </c>
      <c r="AI168" s="17">
        <f>COUNTIF('261031'!$C$18:$C$47,$C168)+COUNTIF('261031'!$I$18:$I$47,$C168)</f>
        <v>0</v>
      </c>
      <c r="AJ168" s="52">
        <f t="shared" si="8"/>
        <v>0</v>
      </c>
    </row>
    <row r="169" spans="2:39" ht="20.100000000000001" customHeight="1" x14ac:dyDescent="0.3">
      <c r="B169" s="36">
        <f t="shared" si="9"/>
        <v>165</v>
      </c>
      <c r="C169" s="19"/>
      <c r="D169" s="19"/>
      <c r="E169" s="17">
        <f>COUNTIF('261001'!$C$18:$C$47,$C169)+COUNTIF('261001'!$I$18:$I$47,$C169)</f>
        <v>0</v>
      </c>
      <c r="F169" s="17">
        <f>COUNTIF('261002'!$C$18:$C$47,$C169)+COUNTIF('261002'!$I$18:$I$47,$C169)</f>
        <v>0</v>
      </c>
      <c r="G169" s="17">
        <f>COUNTIF('261003'!$C$18:$C$47,$C169)+COUNTIF('261003'!$I$18:$I$47,$C169)</f>
        <v>0</v>
      </c>
      <c r="H169" s="17">
        <f>COUNTIF('261004'!$C$18:$C$47,$C169)+COUNTIF('261004'!$I$18:$I$47,$C169)</f>
        <v>0</v>
      </c>
      <c r="I169" s="17">
        <f>COUNTIF('261005'!$C$18:$C$47,$C169)+COUNTIF('261005'!$I$18:$I$47,$C169)</f>
        <v>0</v>
      </c>
      <c r="J169" s="17">
        <f>COUNTIF('261006'!$C$18:$C$47,$C169)+COUNTIF('261006'!$I$18:$I$47,$C169)</f>
        <v>0</v>
      </c>
      <c r="K169" s="17">
        <f>COUNTIF('261007'!$C$18:$C$47,$C169)+COUNTIF('261007'!$I$18:$I$47,$C169)</f>
        <v>0</v>
      </c>
      <c r="L169" s="17">
        <f>COUNTIF('261008'!$C$18:$C$47,$C169)+COUNTIF('261008'!$I$18:$I$47,$C169)</f>
        <v>0</v>
      </c>
      <c r="M169" s="17">
        <f>COUNTIF('261009'!$C$18:$C$47,$C169)+COUNTIF('261009'!$I$18:$I$47,$C169)</f>
        <v>0</v>
      </c>
      <c r="N169" s="17">
        <f>COUNTIF('261010'!$C$18:$C$47,$C169)+COUNTIF('261010'!$I$18:$I$47,$C169)</f>
        <v>0</v>
      </c>
      <c r="O169" s="17">
        <f>COUNTIF('261011'!$C$18:$C$47,$C169)+COUNTIF('261011'!$I$18:$I$47,$C169)</f>
        <v>0</v>
      </c>
      <c r="P169" s="17">
        <f>COUNTIF('261012'!$C$18:$C$47,$C169)+COUNTIF('261012'!$I$18:$I$47,$C169)</f>
        <v>0</v>
      </c>
      <c r="Q169" s="17">
        <f>COUNTIF('261013'!$C$18:$C$47,$C169)+COUNTIF('261013'!$I$18:$I$47,$C169)</f>
        <v>0</v>
      </c>
      <c r="R169" s="17">
        <f>COUNTIF('261014'!$C$18:$C$47,$C169)+COUNTIF('261014'!$I$18:$I$47,$C169)</f>
        <v>0</v>
      </c>
      <c r="S169" s="17">
        <f>COUNTIF('261015'!$C$18:$C$47,$C169)+COUNTIF('261015'!$I$18:$I$47,$C169)</f>
        <v>0</v>
      </c>
      <c r="T169" s="17">
        <f>COUNTIF('261016'!$C$18:$C$47,$C169)+COUNTIF('261016'!$I$18:$I$47,$C169)</f>
        <v>0</v>
      </c>
      <c r="U169" s="17">
        <f>COUNTIF('261017'!$C$18:$C$47,$C169)+COUNTIF('261017'!$I$18:$I$47,$C169)</f>
        <v>0</v>
      </c>
      <c r="V169" s="17">
        <f>COUNTIF('261018'!$C$18:$C$47,$C169)+COUNTIF('261018'!$I$18:$I$47,$C169)</f>
        <v>0</v>
      </c>
      <c r="W169" s="17">
        <f>COUNTIF('261019'!$C$18:$C$47,$C169)+COUNTIF('261019'!$I$18:$I$47,$C169)</f>
        <v>0</v>
      </c>
      <c r="X169" s="17">
        <f>COUNTIF('261020'!$C$18:$C$47,$C169)+COUNTIF('261020'!$I$18:$I$47,$C169)</f>
        <v>0</v>
      </c>
      <c r="Y169" s="17">
        <f>COUNTIF('261021'!$C$18:$C$47,$C169)+COUNTIF('261021'!$I$18:$I$47,$C169)</f>
        <v>0</v>
      </c>
      <c r="Z169" s="17">
        <f>COUNTIF('261022'!$C$18:$C$47,$C169)+COUNTIF('261022'!$I$18:$I$47,$C169)</f>
        <v>0</v>
      </c>
      <c r="AA169" s="17">
        <f>COUNTIF('261023'!$C$18:$C$47,$C169)+COUNTIF('261023'!$I$18:$I$47,$C169)</f>
        <v>0</v>
      </c>
      <c r="AB169" s="17">
        <f>COUNTIF('261024'!$C$18:$C$47,$C169)+COUNTIF('261024'!$I$18:$I$47,$C169)</f>
        <v>0</v>
      </c>
      <c r="AC169" s="17">
        <f>COUNTIF('261025'!$C$18:$C$47,$C169)+COUNTIF('261025'!$I$18:$I$47,$C169)</f>
        <v>0</v>
      </c>
      <c r="AD169" s="17">
        <f>COUNTIF('261026'!$C$18:$C$47,$C169)+COUNTIF('261026'!$I$18:$I$47,$C169)</f>
        <v>0</v>
      </c>
      <c r="AE169" s="17">
        <f>COUNTIF('261027'!$C$18:$C$47,$C169)+COUNTIF('261027'!$I$18:$I$47,$C169)</f>
        <v>0</v>
      </c>
      <c r="AF169" s="17">
        <f>COUNTIF('261028'!$C$18:$C$47,$C169)+COUNTIF('261028'!$I$18:$I$47,$C169)</f>
        <v>0</v>
      </c>
      <c r="AG169" s="17">
        <f>COUNTIF('261029'!$C$18:$C$47,$C169)+COUNTIF('261029'!$I$18:$I$47,$C169)</f>
        <v>0</v>
      </c>
      <c r="AH169" s="17">
        <f>COUNTIF('261030'!$C$18:$C$47,$C169)+COUNTIF('261030'!$I$18:$I$47,$C169)</f>
        <v>0</v>
      </c>
      <c r="AI169" s="17">
        <f>COUNTIF('261031'!$C$18:$C$47,$C169)+COUNTIF('261031'!$I$18:$I$47,$C169)</f>
        <v>0</v>
      </c>
      <c r="AJ169" s="52">
        <f t="shared" si="8"/>
        <v>0</v>
      </c>
    </row>
    <row r="170" spans="2:39" ht="20.100000000000001" customHeight="1" x14ac:dyDescent="0.3">
      <c r="B170" s="36">
        <f t="shared" si="9"/>
        <v>166</v>
      </c>
      <c r="C170" s="19"/>
      <c r="D170" s="19"/>
      <c r="E170" s="17">
        <f>COUNTIF('261001'!$C$18:$C$47,$C170)+COUNTIF('261001'!$I$18:$I$47,$C170)</f>
        <v>0</v>
      </c>
      <c r="F170" s="17">
        <f>COUNTIF('261002'!$C$18:$C$47,$C170)+COUNTIF('261002'!$I$18:$I$47,$C170)</f>
        <v>0</v>
      </c>
      <c r="G170" s="17">
        <f>COUNTIF('261003'!$C$18:$C$47,$C170)+COUNTIF('261003'!$I$18:$I$47,$C170)</f>
        <v>0</v>
      </c>
      <c r="H170" s="17">
        <f>COUNTIF('261004'!$C$18:$C$47,$C170)+COUNTIF('261004'!$I$18:$I$47,$C170)</f>
        <v>0</v>
      </c>
      <c r="I170" s="17">
        <f>COUNTIF('261005'!$C$18:$C$47,$C170)+COUNTIF('261005'!$I$18:$I$47,$C170)</f>
        <v>0</v>
      </c>
      <c r="J170" s="17">
        <f>COUNTIF('261006'!$C$18:$C$47,$C170)+COUNTIF('261006'!$I$18:$I$47,$C170)</f>
        <v>0</v>
      </c>
      <c r="K170" s="17">
        <f>COUNTIF('261007'!$C$18:$C$47,$C170)+COUNTIF('261007'!$I$18:$I$47,$C170)</f>
        <v>0</v>
      </c>
      <c r="L170" s="17">
        <f>COUNTIF('261008'!$C$18:$C$47,$C170)+COUNTIF('261008'!$I$18:$I$47,$C170)</f>
        <v>0</v>
      </c>
      <c r="M170" s="17">
        <f>COUNTIF('261009'!$C$18:$C$47,$C170)+COUNTIF('261009'!$I$18:$I$47,$C170)</f>
        <v>0</v>
      </c>
      <c r="N170" s="17">
        <f>COUNTIF('261010'!$C$18:$C$47,$C170)+COUNTIF('261010'!$I$18:$I$47,$C170)</f>
        <v>0</v>
      </c>
      <c r="O170" s="17">
        <f>COUNTIF('261011'!$C$18:$C$47,$C170)+COUNTIF('261011'!$I$18:$I$47,$C170)</f>
        <v>0</v>
      </c>
      <c r="P170" s="17">
        <f>COUNTIF('261012'!$C$18:$C$47,$C170)+COUNTIF('261012'!$I$18:$I$47,$C170)</f>
        <v>0</v>
      </c>
      <c r="Q170" s="17">
        <f>COUNTIF('261013'!$C$18:$C$47,$C170)+COUNTIF('261013'!$I$18:$I$47,$C170)</f>
        <v>0</v>
      </c>
      <c r="R170" s="17">
        <f>COUNTIF('261014'!$C$18:$C$47,$C170)+COUNTIF('261014'!$I$18:$I$47,$C170)</f>
        <v>0</v>
      </c>
      <c r="S170" s="17">
        <f>COUNTIF('261015'!$C$18:$C$47,$C170)+COUNTIF('261015'!$I$18:$I$47,$C170)</f>
        <v>0</v>
      </c>
      <c r="T170" s="17">
        <f>COUNTIF('261016'!$C$18:$C$47,$C170)+COUNTIF('261016'!$I$18:$I$47,$C170)</f>
        <v>0</v>
      </c>
      <c r="U170" s="17">
        <f>COUNTIF('261017'!$C$18:$C$47,$C170)+COUNTIF('261017'!$I$18:$I$47,$C170)</f>
        <v>0</v>
      </c>
      <c r="V170" s="17">
        <f>COUNTIF('261018'!$C$18:$C$47,$C170)+COUNTIF('261018'!$I$18:$I$47,$C170)</f>
        <v>0</v>
      </c>
      <c r="W170" s="17">
        <f>COUNTIF('261019'!$C$18:$C$47,$C170)+COUNTIF('261019'!$I$18:$I$47,$C170)</f>
        <v>0</v>
      </c>
      <c r="X170" s="17">
        <f>COUNTIF('261020'!$C$18:$C$47,$C170)+COUNTIF('261020'!$I$18:$I$47,$C170)</f>
        <v>0</v>
      </c>
      <c r="Y170" s="17">
        <f>COUNTIF('261021'!$C$18:$C$47,$C170)+COUNTIF('261021'!$I$18:$I$47,$C170)</f>
        <v>0</v>
      </c>
      <c r="Z170" s="17">
        <f>COUNTIF('261022'!$C$18:$C$47,$C170)+COUNTIF('261022'!$I$18:$I$47,$C170)</f>
        <v>0</v>
      </c>
      <c r="AA170" s="17">
        <f>COUNTIF('261023'!$C$18:$C$47,$C170)+COUNTIF('261023'!$I$18:$I$47,$C170)</f>
        <v>0</v>
      </c>
      <c r="AB170" s="17">
        <f>COUNTIF('261024'!$C$18:$C$47,$C170)+COUNTIF('261024'!$I$18:$I$47,$C170)</f>
        <v>0</v>
      </c>
      <c r="AC170" s="17">
        <f>COUNTIF('261025'!$C$18:$C$47,$C170)+COUNTIF('261025'!$I$18:$I$47,$C170)</f>
        <v>0</v>
      </c>
      <c r="AD170" s="17">
        <f>COUNTIF('261026'!$C$18:$C$47,$C170)+COUNTIF('261026'!$I$18:$I$47,$C170)</f>
        <v>0</v>
      </c>
      <c r="AE170" s="17">
        <f>COUNTIF('261027'!$C$18:$C$47,$C170)+COUNTIF('261027'!$I$18:$I$47,$C170)</f>
        <v>0</v>
      </c>
      <c r="AF170" s="17">
        <f>COUNTIF('261028'!$C$18:$C$47,$C170)+COUNTIF('261028'!$I$18:$I$47,$C170)</f>
        <v>0</v>
      </c>
      <c r="AG170" s="17">
        <f>COUNTIF('261029'!$C$18:$C$47,$C170)+COUNTIF('261029'!$I$18:$I$47,$C170)</f>
        <v>0</v>
      </c>
      <c r="AH170" s="17">
        <f>COUNTIF('261030'!$C$18:$C$47,$C170)+COUNTIF('261030'!$I$18:$I$47,$C170)</f>
        <v>0</v>
      </c>
      <c r="AI170" s="17">
        <f>COUNTIF('261031'!$C$18:$C$47,$C170)+COUNTIF('261031'!$I$18:$I$47,$C170)</f>
        <v>0</v>
      </c>
      <c r="AJ170" s="52">
        <f t="shared" si="8"/>
        <v>0</v>
      </c>
    </row>
    <row r="171" spans="2:39" ht="20.100000000000001" customHeight="1" x14ac:dyDescent="0.3">
      <c r="B171" s="36">
        <f t="shared" si="9"/>
        <v>167</v>
      </c>
      <c r="C171" s="19"/>
      <c r="D171" s="19"/>
      <c r="E171" s="17">
        <f>COUNTIF('261001'!$C$18:$C$47,$C171)+COUNTIF('261001'!$I$18:$I$47,$C171)</f>
        <v>0</v>
      </c>
      <c r="F171" s="17">
        <f>COUNTIF('261002'!$C$18:$C$47,$C171)+COUNTIF('261002'!$I$18:$I$47,$C171)</f>
        <v>0</v>
      </c>
      <c r="G171" s="17">
        <f>COUNTIF('261003'!$C$18:$C$47,$C171)+COUNTIF('261003'!$I$18:$I$47,$C171)</f>
        <v>0</v>
      </c>
      <c r="H171" s="17">
        <f>COUNTIF('261004'!$C$18:$C$47,$C171)+COUNTIF('261004'!$I$18:$I$47,$C171)</f>
        <v>0</v>
      </c>
      <c r="I171" s="17">
        <f>COUNTIF('261005'!$C$18:$C$47,$C171)+COUNTIF('261005'!$I$18:$I$47,$C171)</f>
        <v>0</v>
      </c>
      <c r="J171" s="17">
        <f>COUNTIF('261006'!$C$18:$C$47,$C171)+COUNTIF('261006'!$I$18:$I$47,$C171)</f>
        <v>0</v>
      </c>
      <c r="K171" s="17">
        <f>COUNTIF('261007'!$C$18:$C$47,$C171)+COUNTIF('261007'!$I$18:$I$47,$C171)</f>
        <v>0</v>
      </c>
      <c r="L171" s="17">
        <f>COUNTIF('261008'!$C$18:$C$47,$C171)+COUNTIF('261008'!$I$18:$I$47,$C171)</f>
        <v>0</v>
      </c>
      <c r="M171" s="17">
        <f>COUNTIF('261009'!$C$18:$C$47,$C171)+COUNTIF('261009'!$I$18:$I$47,$C171)</f>
        <v>0</v>
      </c>
      <c r="N171" s="17">
        <f>COUNTIF('261010'!$C$18:$C$47,$C171)+COUNTIF('261010'!$I$18:$I$47,$C171)</f>
        <v>0</v>
      </c>
      <c r="O171" s="17">
        <f>COUNTIF('261011'!$C$18:$C$47,$C171)+COUNTIF('261011'!$I$18:$I$47,$C171)</f>
        <v>0</v>
      </c>
      <c r="P171" s="17">
        <f>COUNTIF('261012'!$C$18:$C$47,$C171)+COUNTIF('261012'!$I$18:$I$47,$C171)</f>
        <v>0</v>
      </c>
      <c r="Q171" s="17">
        <f>COUNTIF('261013'!$C$18:$C$47,$C171)+COUNTIF('261013'!$I$18:$I$47,$C171)</f>
        <v>0</v>
      </c>
      <c r="R171" s="17">
        <f>COUNTIF('261014'!$C$18:$C$47,$C171)+COUNTIF('261014'!$I$18:$I$47,$C171)</f>
        <v>0</v>
      </c>
      <c r="S171" s="17">
        <f>COUNTIF('261015'!$C$18:$C$47,$C171)+COUNTIF('261015'!$I$18:$I$47,$C171)</f>
        <v>0</v>
      </c>
      <c r="T171" s="17">
        <f>COUNTIF('261016'!$C$18:$C$47,$C171)+COUNTIF('261016'!$I$18:$I$47,$C171)</f>
        <v>0</v>
      </c>
      <c r="U171" s="17">
        <f>COUNTIF('261017'!$C$18:$C$47,$C171)+COUNTIF('261017'!$I$18:$I$47,$C171)</f>
        <v>0</v>
      </c>
      <c r="V171" s="17">
        <f>COUNTIF('261018'!$C$18:$C$47,$C171)+COUNTIF('261018'!$I$18:$I$47,$C171)</f>
        <v>0</v>
      </c>
      <c r="W171" s="17">
        <f>COUNTIF('261019'!$C$18:$C$47,$C171)+COUNTIF('261019'!$I$18:$I$47,$C171)</f>
        <v>0</v>
      </c>
      <c r="X171" s="17">
        <f>COUNTIF('261020'!$C$18:$C$47,$C171)+COUNTIF('261020'!$I$18:$I$47,$C171)</f>
        <v>0</v>
      </c>
      <c r="Y171" s="17">
        <f>COUNTIF('261021'!$C$18:$C$47,$C171)+COUNTIF('261021'!$I$18:$I$47,$C171)</f>
        <v>0</v>
      </c>
      <c r="Z171" s="17">
        <f>COUNTIF('261022'!$C$18:$C$47,$C171)+COUNTIF('261022'!$I$18:$I$47,$C171)</f>
        <v>0</v>
      </c>
      <c r="AA171" s="17">
        <f>COUNTIF('261023'!$C$18:$C$47,$C171)+COUNTIF('261023'!$I$18:$I$47,$C171)</f>
        <v>0</v>
      </c>
      <c r="AB171" s="17">
        <f>COUNTIF('261024'!$C$18:$C$47,$C171)+COUNTIF('261024'!$I$18:$I$47,$C171)</f>
        <v>0</v>
      </c>
      <c r="AC171" s="17">
        <f>COUNTIF('261025'!$C$18:$C$47,$C171)+COUNTIF('261025'!$I$18:$I$47,$C171)</f>
        <v>0</v>
      </c>
      <c r="AD171" s="17">
        <f>COUNTIF('261026'!$C$18:$C$47,$C171)+COUNTIF('261026'!$I$18:$I$47,$C171)</f>
        <v>0</v>
      </c>
      <c r="AE171" s="17">
        <f>COUNTIF('261027'!$C$18:$C$47,$C171)+COUNTIF('261027'!$I$18:$I$47,$C171)</f>
        <v>0</v>
      </c>
      <c r="AF171" s="17">
        <f>COUNTIF('261028'!$C$18:$C$47,$C171)+COUNTIF('261028'!$I$18:$I$47,$C171)</f>
        <v>0</v>
      </c>
      <c r="AG171" s="17">
        <f>COUNTIF('261029'!$C$18:$C$47,$C171)+COUNTIF('261029'!$I$18:$I$47,$C171)</f>
        <v>0</v>
      </c>
      <c r="AH171" s="17">
        <f>COUNTIF('261030'!$C$18:$C$47,$C171)+COUNTIF('261030'!$I$18:$I$47,$C171)</f>
        <v>0</v>
      </c>
      <c r="AI171" s="17">
        <f>COUNTIF('261031'!$C$18:$C$47,$C171)+COUNTIF('261031'!$I$18:$I$47,$C171)</f>
        <v>0</v>
      </c>
      <c r="AJ171" s="52">
        <f t="shared" si="8"/>
        <v>0</v>
      </c>
    </row>
    <row r="172" spans="2:39" ht="20.100000000000001" customHeight="1" x14ac:dyDescent="0.3">
      <c r="B172" s="36">
        <f t="shared" si="9"/>
        <v>168</v>
      </c>
      <c r="C172" s="19"/>
      <c r="D172" s="19"/>
      <c r="E172" s="17">
        <f>COUNTIF('261001'!$C$18:$C$47,$C172)+COUNTIF('261001'!$I$18:$I$47,$C172)</f>
        <v>0</v>
      </c>
      <c r="F172" s="17">
        <f>COUNTIF('261002'!$C$18:$C$47,$C172)+COUNTIF('261002'!$I$18:$I$47,$C172)</f>
        <v>0</v>
      </c>
      <c r="G172" s="17">
        <f>COUNTIF('261003'!$C$18:$C$47,$C172)+COUNTIF('261003'!$I$18:$I$47,$C172)</f>
        <v>0</v>
      </c>
      <c r="H172" s="17">
        <f>COUNTIF('261004'!$C$18:$C$47,$C172)+COUNTIF('261004'!$I$18:$I$47,$C172)</f>
        <v>0</v>
      </c>
      <c r="I172" s="17">
        <f>COUNTIF('261005'!$C$18:$C$47,$C172)+COUNTIF('261005'!$I$18:$I$47,$C172)</f>
        <v>0</v>
      </c>
      <c r="J172" s="17">
        <f>COUNTIF('261006'!$C$18:$C$47,$C172)+COUNTIF('261006'!$I$18:$I$47,$C172)</f>
        <v>0</v>
      </c>
      <c r="K172" s="17">
        <f>COUNTIF('261007'!$C$18:$C$47,$C172)+COUNTIF('261007'!$I$18:$I$47,$C172)</f>
        <v>0</v>
      </c>
      <c r="L172" s="17">
        <f>COUNTIF('261008'!$C$18:$C$47,$C172)+COUNTIF('261008'!$I$18:$I$47,$C172)</f>
        <v>0</v>
      </c>
      <c r="M172" s="17">
        <f>COUNTIF('261009'!$C$18:$C$47,$C172)+COUNTIF('261009'!$I$18:$I$47,$C172)</f>
        <v>0</v>
      </c>
      <c r="N172" s="17">
        <f>COUNTIF('261010'!$C$18:$C$47,$C172)+COUNTIF('261010'!$I$18:$I$47,$C172)</f>
        <v>0</v>
      </c>
      <c r="O172" s="17">
        <f>COUNTIF('261011'!$C$18:$C$47,$C172)+COUNTIF('261011'!$I$18:$I$47,$C172)</f>
        <v>0</v>
      </c>
      <c r="P172" s="17">
        <f>COUNTIF('261012'!$C$18:$C$47,$C172)+COUNTIF('261012'!$I$18:$I$47,$C172)</f>
        <v>0</v>
      </c>
      <c r="Q172" s="17">
        <f>COUNTIF('261013'!$C$18:$C$47,$C172)+COUNTIF('261013'!$I$18:$I$47,$C172)</f>
        <v>0</v>
      </c>
      <c r="R172" s="17">
        <f>COUNTIF('261014'!$C$18:$C$47,$C172)+COUNTIF('261014'!$I$18:$I$47,$C172)</f>
        <v>0</v>
      </c>
      <c r="S172" s="17">
        <f>COUNTIF('261015'!$C$18:$C$47,$C172)+COUNTIF('261015'!$I$18:$I$47,$C172)</f>
        <v>0</v>
      </c>
      <c r="T172" s="17">
        <f>COUNTIF('261016'!$C$18:$C$47,$C172)+COUNTIF('261016'!$I$18:$I$47,$C172)</f>
        <v>0</v>
      </c>
      <c r="U172" s="17">
        <f>COUNTIF('261017'!$C$18:$C$47,$C172)+COUNTIF('261017'!$I$18:$I$47,$C172)</f>
        <v>0</v>
      </c>
      <c r="V172" s="17">
        <f>COUNTIF('261018'!$C$18:$C$47,$C172)+COUNTIF('261018'!$I$18:$I$47,$C172)</f>
        <v>0</v>
      </c>
      <c r="W172" s="17">
        <f>COUNTIF('261019'!$C$18:$C$47,$C172)+COUNTIF('261019'!$I$18:$I$47,$C172)</f>
        <v>0</v>
      </c>
      <c r="X172" s="17">
        <f>COUNTIF('261020'!$C$18:$C$47,$C172)+COUNTIF('261020'!$I$18:$I$47,$C172)</f>
        <v>0</v>
      </c>
      <c r="Y172" s="17">
        <f>COUNTIF('261021'!$C$18:$C$47,$C172)+COUNTIF('261021'!$I$18:$I$47,$C172)</f>
        <v>0</v>
      </c>
      <c r="Z172" s="17">
        <f>COUNTIF('261022'!$C$18:$C$47,$C172)+COUNTIF('261022'!$I$18:$I$47,$C172)</f>
        <v>0</v>
      </c>
      <c r="AA172" s="17">
        <f>COUNTIF('261023'!$C$18:$C$47,$C172)+COUNTIF('261023'!$I$18:$I$47,$C172)</f>
        <v>0</v>
      </c>
      <c r="AB172" s="17">
        <f>COUNTIF('261024'!$C$18:$C$47,$C172)+COUNTIF('261024'!$I$18:$I$47,$C172)</f>
        <v>0</v>
      </c>
      <c r="AC172" s="17">
        <f>COUNTIF('261025'!$C$18:$C$47,$C172)+COUNTIF('261025'!$I$18:$I$47,$C172)</f>
        <v>0</v>
      </c>
      <c r="AD172" s="17">
        <f>COUNTIF('261026'!$C$18:$C$47,$C172)+COUNTIF('261026'!$I$18:$I$47,$C172)</f>
        <v>0</v>
      </c>
      <c r="AE172" s="17">
        <f>COUNTIF('261027'!$C$18:$C$47,$C172)+COUNTIF('261027'!$I$18:$I$47,$C172)</f>
        <v>0</v>
      </c>
      <c r="AF172" s="17">
        <f>COUNTIF('261028'!$C$18:$C$47,$C172)+COUNTIF('261028'!$I$18:$I$47,$C172)</f>
        <v>0</v>
      </c>
      <c r="AG172" s="17">
        <f>COUNTIF('261029'!$C$18:$C$47,$C172)+COUNTIF('261029'!$I$18:$I$47,$C172)</f>
        <v>0</v>
      </c>
      <c r="AH172" s="17">
        <f>COUNTIF('261030'!$C$18:$C$47,$C172)+COUNTIF('261030'!$I$18:$I$47,$C172)</f>
        <v>0</v>
      </c>
      <c r="AI172" s="17">
        <f>COUNTIF('261031'!$C$18:$C$47,$C172)+COUNTIF('261031'!$I$18:$I$47,$C172)</f>
        <v>0</v>
      </c>
      <c r="AJ172" s="52">
        <f t="shared" si="8"/>
        <v>0</v>
      </c>
    </row>
    <row r="173" spans="2:39" ht="20.100000000000001" customHeight="1" x14ac:dyDescent="0.3">
      <c r="B173" s="36">
        <f t="shared" si="9"/>
        <v>169</v>
      </c>
      <c r="C173" s="34"/>
      <c r="D173" s="19"/>
      <c r="E173" s="17">
        <f>COUNTIF('261001'!$C$18:$C$47,$C173)+COUNTIF('261001'!$I$18:$I$47,$C173)</f>
        <v>0</v>
      </c>
      <c r="F173" s="17">
        <f>COUNTIF('261002'!$C$18:$C$47,$C173)+COUNTIF('261002'!$I$18:$I$47,$C173)</f>
        <v>0</v>
      </c>
      <c r="G173" s="17">
        <f>COUNTIF('261003'!$C$18:$C$47,$C173)+COUNTIF('261003'!$I$18:$I$47,$C173)</f>
        <v>0</v>
      </c>
      <c r="H173" s="17">
        <f>COUNTIF('261004'!$C$18:$C$47,$C173)+COUNTIF('261004'!$I$18:$I$47,$C173)</f>
        <v>0</v>
      </c>
      <c r="I173" s="17">
        <f>COUNTIF('261005'!$C$18:$C$47,$C173)+COUNTIF('261005'!$I$18:$I$47,$C173)</f>
        <v>0</v>
      </c>
      <c r="J173" s="17">
        <f>COUNTIF('261006'!$C$18:$C$47,$C173)+COUNTIF('261006'!$I$18:$I$47,$C173)</f>
        <v>0</v>
      </c>
      <c r="K173" s="17">
        <f>COUNTIF('261007'!$C$18:$C$47,$C173)+COUNTIF('261007'!$I$18:$I$47,$C173)</f>
        <v>0</v>
      </c>
      <c r="L173" s="17">
        <f>COUNTIF('261008'!$C$18:$C$47,$C173)+COUNTIF('261008'!$I$18:$I$47,$C173)</f>
        <v>0</v>
      </c>
      <c r="M173" s="17">
        <f>COUNTIF('261009'!$C$18:$C$47,$C173)+COUNTIF('261009'!$I$18:$I$47,$C173)</f>
        <v>0</v>
      </c>
      <c r="N173" s="17">
        <f>COUNTIF('261010'!$C$18:$C$47,$C173)+COUNTIF('261010'!$I$18:$I$47,$C173)</f>
        <v>0</v>
      </c>
      <c r="O173" s="17">
        <f>COUNTIF('261011'!$C$18:$C$47,$C173)+COUNTIF('261011'!$I$18:$I$47,$C173)</f>
        <v>0</v>
      </c>
      <c r="P173" s="17">
        <f>COUNTIF('261012'!$C$18:$C$47,$C173)+COUNTIF('261012'!$I$18:$I$47,$C173)</f>
        <v>0</v>
      </c>
      <c r="Q173" s="17">
        <f>COUNTIF('261013'!$C$18:$C$47,$C173)+COUNTIF('261013'!$I$18:$I$47,$C173)</f>
        <v>0</v>
      </c>
      <c r="R173" s="17">
        <f>COUNTIF('261014'!$C$18:$C$47,$C173)+COUNTIF('261014'!$I$18:$I$47,$C173)</f>
        <v>0</v>
      </c>
      <c r="S173" s="17">
        <f>COUNTIF('261015'!$C$18:$C$47,$C173)+COUNTIF('261015'!$I$18:$I$47,$C173)</f>
        <v>0</v>
      </c>
      <c r="T173" s="17">
        <f>COUNTIF('261016'!$C$18:$C$47,$C173)+COUNTIF('261016'!$I$18:$I$47,$C173)</f>
        <v>0</v>
      </c>
      <c r="U173" s="17">
        <f>COUNTIF('261017'!$C$18:$C$47,$C173)+COUNTIF('261017'!$I$18:$I$47,$C173)</f>
        <v>0</v>
      </c>
      <c r="V173" s="17">
        <f>COUNTIF('261018'!$C$18:$C$47,$C173)+COUNTIF('261018'!$I$18:$I$47,$C173)</f>
        <v>0</v>
      </c>
      <c r="W173" s="17">
        <f>COUNTIF('261019'!$C$18:$C$47,$C173)+COUNTIF('261019'!$I$18:$I$47,$C173)</f>
        <v>0</v>
      </c>
      <c r="X173" s="17">
        <f>COUNTIF('261020'!$C$18:$C$47,$C173)+COUNTIF('261020'!$I$18:$I$47,$C173)</f>
        <v>0</v>
      </c>
      <c r="Y173" s="17">
        <f>COUNTIF('261021'!$C$18:$C$47,$C173)+COUNTIF('261021'!$I$18:$I$47,$C173)</f>
        <v>0</v>
      </c>
      <c r="Z173" s="17">
        <f>COUNTIF('261022'!$C$18:$C$47,$C173)+COUNTIF('261022'!$I$18:$I$47,$C173)</f>
        <v>0</v>
      </c>
      <c r="AA173" s="17">
        <f>COUNTIF('261023'!$C$18:$C$47,$C173)+COUNTIF('261023'!$I$18:$I$47,$C173)</f>
        <v>0</v>
      </c>
      <c r="AB173" s="17">
        <f>COUNTIF('261024'!$C$18:$C$47,$C173)+COUNTIF('261024'!$I$18:$I$47,$C173)</f>
        <v>0</v>
      </c>
      <c r="AC173" s="17">
        <f>COUNTIF('261025'!$C$18:$C$47,$C173)+COUNTIF('261025'!$I$18:$I$47,$C173)</f>
        <v>0</v>
      </c>
      <c r="AD173" s="17">
        <f>COUNTIF('261026'!$C$18:$C$47,$C173)+COUNTIF('261026'!$I$18:$I$47,$C173)</f>
        <v>0</v>
      </c>
      <c r="AE173" s="17">
        <f>COUNTIF('261027'!$C$18:$C$47,$C173)+COUNTIF('261027'!$I$18:$I$47,$C173)</f>
        <v>0</v>
      </c>
      <c r="AF173" s="17">
        <f>COUNTIF('261028'!$C$18:$C$47,$C173)+COUNTIF('261028'!$I$18:$I$47,$C173)</f>
        <v>0</v>
      </c>
      <c r="AG173" s="17">
        <f>COUNTIF('261029'!$C$18:$C$47,$C173)+COUNTIF('261029'!$I$18:$I$47,$C173)</f>
        <v>0</v>
      </c>
      <c r="AH173" s="17">
        <f>COUNTIF('261030'!$C$18:$C$47,$C173)+COUNTIF('261030'!$I$18:$I$47,$C173)</f>
        <v>0</v>
      </c>
      <c r="AI173" s="17">
        <f>COUNTIF('261031'!$C$18:$C$47,$C173)+COUNTIF('261031'!$I$18:$I$47,$C173)</f>
        <v>0</v>
      </c>
      <c r="AJ173" s="52">
        <f t="shared" si="8"/>
        <v>0</v>
      </c>
    </row>
    <row r="174" spans="2:39" ht="20.100000000000001" customHeight="1" x14ac:dyDescent="0.3">
      <c r="B174" s="36">
        <f t="shared" si="9"/>
        <v>170</v>
      </c>
      <c r="C174" s="34"/>
      <c r="D174" s="19"/>
      <c r="E174" s="17">
        <f>COUNTIF('261001'!$C$18:$C$47,$C174)+COUNTIF('261001'!$I$18:$I$47,$C174)</f>
        <v>0</v>
      </c>
      <c r="F174" s="17">
        <f>COUNTIF('261002'!$C$18:$C$47,$C174)+COUNTIF('261002'!$I$18:$I$47,$C174)</f>
        <v>0</v>
      </c>
      <c r="G174" s="17">
        <f>COUNTIF('261003'!$C$18:$C$47,$C174)+COUNTIF('261003'!$I$18:$I$47,$C174)</f>
        <v>0</v>
      </c>
      <c r="H174" s="17">
        <f>COUNTIF('261004'!$C$18:$C$47,$C174)+COUNTIF('261004'!$I$18:$I$47,$C174)</f>
        <v>0</v>
      </c>
      <c r="I174" s="17">
        <f>COUNTIF('261005'!$C$18:$C$47,$C174)+COUNTIF('261005'!$I$18:$I$47,$C174)</f>
        <v>0</v>
      </c>
      <c r="J174" s="17">
        <f>COUNTIF('261006'!$C$18:$C$47,$C174)+COUNTIF('261006'!$I$18:$I$47,$C174)</f>
        <v>0</v>
      </c>
      <c r="K174" s="17">
        <f>COUNTIF('261007'!$C$18:$C$47,$C174)+COUNTIF('261007'!$I$18:$I$47,$C174)</f>
        <v>0</v>
      </c>
      <c r="L174" s="17">
        <f>COUNTIF('261008'!$C$18:$C$47,$C174)+COUNTIF('261008'!$I$18:$I$47,$C174)</f>
        <v>0</v>
      </c>
      <c r="M174" s="17">
        <f>COUNTIF('261009'!$C$18:$C$47,$C174)+COUNTIF('261009'!$I$18:$I$47,$C174)</f>
        <v>0</v>
      </c>
      <c r="N174" s="17">
        <f>COUNTIF('261010'!$C$18:$C$47,$C174)+COUNTIF('261010'!$I$18:$I$47,$C174)</f>
        <v>0</v>
      </c>
      <c r="O174" s="17">
        <f>COUNTIF('261011'!$C$18:$C$47,$C174)+COUNTIF('261011'!$I$18:$I$47,$C174)</f>
        <v>0</v>
      </c>
      <c r="P174" s="17">
        <f>COUNTIF('261012'!$C$18:$C$47,$C174)+COUNTIF('261012'!$I$18:$I$47,$C174)</f>
        <v>0</v>
      </c>
      <c r="Q174" s="17">
        <f>COUNTIF('261013'!$C$18:$C$47,$C174)+COUNTIF('261013'!$I$18:$I$47,$C174)</f>
        <v>0</v>
      </c>
      <c r="R174" s="17">
        <f>COUNTIF('261014'!$C$18:$C$47,$C174)+COUNTIF('261014'!$I$18:$I$47,$C174)</f>
        <v>0</v>
      </c>
      <c r="S174" s="17">
        <f>COUNTIF('261015'!$C$18:$C$47,$C174)+COUNTIF('261015'!$I$18:$I$47,$C174)</f>
        <v>0</v>
      </c>
      <c r="T174" s="17">
        <f>COUNTIF('261016'!$C$18:$C$47,$C174)+COUNTIF('261016'!$I$18:$I$47,$C174)</f>
        <v>0</v>
      </c>
      <c r="U174" s="17">
        <f>COUNTIF('261017'!$C$18:$C$47,$C174)+COUNTIF('261017'!$I$18:$I$47,$C174)</f>
        <v>0</v>
      </c>
      <c r="V174" s="17">
        <f>COUNTIF('261018'!$C$18:$C$47,$C174)+COUNTIF('261018'!$I$18:$I$47,$C174)</f>
        <v>0</v>
      </c>
      <c r="W174" s="17">
        <f>COUNTIF('261019'!$C$18:$C$47,$C174)+COUNTIF('261019'!$I$18:$I$47,$C174)</f>
        <v>0</v>
      </c>
      <c r="X174" s="17">
        <f>COUNTIF('261020'!$C$18:$C$47,$C174)+COUNTIF('261020'!$I$18:$I$47,$C174)</f>
        <v>0</v>
      </c>
      <c r="Y174" s="17">
        <f>COUNTIF('261021'!$C$18:$C$47,$C174)+COUNTIF('261021'!$I$18:$I$47,$C174)</f>
        <v>0</v>
      </c>
      <c r="Z174" s="17">
        <f>COUNTIF('261022'!$C$18:$C$47,$C174)+COUNTIF('261022'!$I$18:$I$47,$C174)</f>
        <v>0</v>
      </c>
      <c r="AA174" s="17">
        <f>COUNTIF('261023'!$C$18:$C$47,$C174)+COUNTIF('261023'!$I$18:$I$47,$C174)</f>
        <v>0</v>
      </c>
      <c r="AB174" s="17">
        <f>COUNTIF('261024'!$C$18:$C$47,$C174)+COUNTIF('261024'!$I$18:$I$47,$C174)</f>
        <v>0</v>
      </c>
      <c r="AC174" s="17">
        <f>COUNTIF('261025'!$C$18:$C$47,$C174)+COUNTIF('261025'!$I$18:$I$47,$C174)</f>
        <v>0</v>
      </c>
      <c r="AD174" s="17">
        <f>COUNTIF('261026'!$C$18:$C$47,$C174)+COUNTIF('261026'!$I$18:$I$47,$C174)</f>
        <v>0</v>
      </c>
      <c r="AE174" s="17">
        <f>COUNTIF('261027'!$C$18:$C$47,$C174)+COUNTIF('261027'!$I$18:$I$47,$C174)</f>
        <v>0</v>
      </c>
      <c r="AF174" s="17">
        <f>COUNTIF('261028'!$C$18:$C$47,$C174)+COUNTIF('261028'!$I$18:$I$47,$C174)</f>
        <v>0</v>
      </c>
      <c r="AG174" s="17">
        <f>COUNTIF('261029'!$C$18:$C$47,$C174)+COUNTIF('261029'!$I$18:$I$47,$C174)</f>
        <v>0</v>
      </c>
      <c r="AH174" s="17">
        <f>COUNTIF('261030'!$C$18:$C$47,$C174)+COUNTIF('261030'!$I$18:$I$47,$C174)</f>
        <v>0</v>
      </c>
      <c r="AI174" s="17">
        <f>COUNTIF('261031'!$C$18:$C$47,$C174)+COUNTIF('261031'!$I$18:$I$47,$C174)</f>
        <v>0</v>
      </c>
      <c r="AJ174" s="52">
        <f t="shared" si="8"/>
        <v>0</v>
      </c>
    </row>
    <row r="175" spans="2:39" ht="20.100000000000001" customHeight="1" x14ac:dyDescent="0.3">
      <c r="B175" s="36">
        <f t="shared" si="9"/>
        <v>171</v>
      </c>
      <c r="C175" s="19"/>
      <c r="D175" s="19"/>
      <c r="E175" s="17">
        <f>COUNTIF('261001'!$C$18:$C$47,$C175)+COUNTIF('261001'!$I$18:$I$47,$C175)</f>
        <v>0</v>
      </c>
      <c r="F175" s="17">
        <f>COUNTIF('261002'!$C$18:$C$47,$C175)+COUNTIF('261002'!$I$18:$I$47,$C175)</f>
        <v>0</v>
      </c>
      <c r="G175" s="17">
        <f>COUNTIF('261003'!$C$18:$C$47,$C175)+COUNTIF('261003'!$I$18:$I$47,$C175)</f>
        <v>0</v>
      </c>
      <c r="H175" s="17">
        <f>COUNTIF('261004'!$C$18:$C$47,$C175)+COUNTIF('261004'!$I$18:$I$47,$C175)</f>
        <v>0</v>
      </c>
      <c r="I175" s="17">
        <f>COUNTIF('261005'!$C$18:$C$47,$C175)+COUNTIF('261005'!$I$18:$I$47,$C175)</f>
        <v>0</v>
      </c>
      <c r="J175" s="17">
        <f>COUNTIF('261006'!$C$18:$C$47,$C175)+COUNTIF('261006'!$I$18:$I$47,$C175)</f>
        <v>0</v>
      </c>
      <c r="K175" s="17">
        <f>COUNTIF('261007'!$C$18:$C$47,$C175)+COUNTIF('261007'!$I$18:$I$47,$C175)</f>
        <v>0</v>
      </c>
      <c r="L175" s="17">
        <f>COUNTIF('261008'!$C$18:$C$47,$C175)+COUNTIF('261008'!$I$18:$I$47,$C175)</f>
        <v>0</v>
      </c>
      <c r="M175" s="17">
        <f>COUNTIF('261009'!$C$18:$C$47,$C175)+COUNTIF('261009'!$I$18:$I$47,$C175)</f>
        <v>0</v>
      </c>
      <c r="N175" s="17">
        <f>COUNTIF('261010'!$C$18:$C$47,$C175)+COUNTIF('261010'!$I$18:$I$47,$C175)</f>
        <v>0</v>
      </c>
      <c r="O175" s="17">
        <f>COUNTIF('261011'!$C$18:$C$47,$C175)+COUNTIF('261011'!$I$18:$I$47,$C175)</f>
        <v>0</v>
      </c>
      <c r="P175" s="17">
        <f>COUNTIF('261012'!$C$18:$C$47,$C175)+COUNTIF('261012'!$I$18:$I$47,$C175)</f>
        <v>0</v>
      </c>
      <c r="Q175" s="17">
        <f>COUNTIF('261013'!$C$18:$C$47,$C175)+COUNTIF('261013'!$I$18:$I$47,$C175)</f>
        <v>0</v>
      </c>
      <c r="R175" s="17">
        <f>COUNTIF('261014'!$C$18:$C$47,$C175)+COUNTIF('261014'!$I$18:$I$47,$C175)</f>
        <v>0</v>
      </c>
      <c r="S175" s="17">
        <f>COUNTIF('261015'!$C$18:$C$47,$C175)+COUNTIF('261015'!$I$18:$I$47,$C175)</f>
        <v>0</v>
      </c>
      <c r="T175" s="17">
        <f>COUNTIF('261016'!$C$18:$C$47,$C175)+COUNTIF('261016'!$I$18:$I$47,$C175)</f>
        <v>0</v>
      </c>
      <c r="U175" s="17">
        <f>COUNTIF('261017'!$C$18:$C$47,$C175)+COUNTIF('261017'!$I$18:$I$47,$C175)</f>
        <v>0</v>
      </c>
      <c r="V175" s="17">
        <f>COUNTIF('261018'!$C$18:$C$47,$C175)+COUNTIF('261018'!$I$18:$I$47,$C175)</f>
        <v>0</v>
      </c>
      <c r="W175" s="17">
        <f>COUNTIF('261019'!$C$18:$C$47,$C175)+COUNTIF('261019'!$I$18:$I$47,$C175)</f>
        <v>0</v>
      </c>
      <c r="X175" s="17">
        <f>COUNTIF('261020'!$C$18:$C$47,$C175)+COUNTIF('261020'!$I$18:$I$47,$C175)</f>
        <v>0</v>
      </c>
      <c r="Y175" s="17">
        <f>COUNTIF('261021'!$C$18:$C$47,$C175)+COUNTIF('261021'!$I$18:$I$47,$C175)</f>
        <v>0</v>
      </c>
      <c r="Z175" s="17">
        <f>COUNTIF('261022'!$C$18:$C$47,$C175)+COUNTIF('261022'!$I$18:$I$47,$C175)</f>
        <v>0</v>
      </c>
      <c r="AA175" s="17">
        <f>COUNTIF('261023'!$C$18:$C$47,$C175)+COUNTIF('261023'!$I$18:$I$47,$C175)</f>
        <v>0</v>
      </c>
      <c r="AB175" s="17">
        <f>COUNTIF('261024'!$C$18:$C$47,$C175)+COUNTIF('261024'!$I$18:$I$47,$C175)</f>
        <v>0</v>
      </c>
      <c r="AC175" s="17">
        <f>COUNTIF('261025'!$C$18:$C$47,$C175)+COUNTIF('261025'!$I$18:$I$47,$C175)</f>
        <v>0</v>
      </c>
      <c r="AD175" s="17">
        <f>COUNTIF('261026'!$C$18:$C$47,$C175)+COUNTIF('261026'!$I$18:$I$47,$C175)</f>
        <v>0</v>
      </c>
      <c r="AE175" s="17">
        <f>COUNTIF('261027'!$C$18:$C$47,$C175)+COUNTIF('261027'!$I$18:$I$47,$C175)</f>
        <v>0</v>
      </c>
      <c r="AF175" s="17">
        <f>COUNTIF('261028'!$C$18:$C$47,$C175)+COUNTIF('261028'!$I$18:$I$47,$C175)</f>
        <v>0</v>
      </c>
      <c r="AG175" s="17">
        <f>COUNTIF('261029'!$C$18:$C$47,$C175)+COUNTIF('261029'!$I$18:$I$47,$C175)</f>
        <v>0</v>
      </c>
      <c r="AH175" s="17">
        <f>COUNTIF('261030'!$C$18:$C$47,$C175)+COUNTIF('261030'!$I$18:$I$47,$C175)</f>
        <v>0</v>
      </c>
      <c r="AI175" s="17">
        <f>COUNTIF('261031'!$C$18:$C$47,$C175)+COUNTIF('261031'!$I$18:$I$47,$C175)</f>
        <v>0</v>
      </c>
      <c r="AJ175" s="52">
        <f t="shared" si="8"/>
        <v>0</v>
      </c>
    </row>
    <row r="176" spans="2:39" ht="20.100000000000001" customHeight="1" x14ac:dyDescent="0.3">
      <c r="B176" s="36">
        <f t="shared" si="9"/>
        <v>172</v>
      </c>
      <c r="C176" s="19"/>
      <c r="D176" s="19"/>
      <c r="E176" s="17">
        <f>COUNTIF('261001'!$C$18:$C$47,$C176)+COUNTIF('261001'!$I$18:$I$47,$C176)</f>
        <v>0</v>
      </c>
      <c r="F176" s="17">
        <f>COUNTIF('261002'!$C$18:$C$47,$C176)+COUNTIF('261002'!$I$18:$I$47,$C176)</f>
        <v>0</v>
      </c>
      <c r="G176" s="17">
        <f>COUNTIF('261003'!$C$18:$C$47,$C176)+COUNTIF('261003'!$I$18:$I$47,$C176)</f>
        <v>0</v>
      </c>
      <c r="H176" s="17">
        <f>COUNTIF('261004'!$C$18:$C$47,$C176)+COUNTIF('261004'!$I$18:$I$47,$C176)</f>
        <v>0</v>
      </c>
      <c r="I176" s="17">
        <f>COUNTIF('261005'!$C$18:$C$47,$C176)+COUNTIF('261005'!$I$18:$I$47,$C176)</f>
        <v>0</v>
      </c>
      <c r="J176" s="17">
        <f>COUNTIF('261006'!$C$18:$C$47,$C176)+COUNTIF('261006'!$I$18:$I$47,$C176)</f>
        <v>0</v>
      </c>
      <c r="K176" s="17">
        <f>COUNTIF('261007'!$C$18:$C$47,$C176)+COUNTIF('261007'!$I$18:$I$47,$C176)</f>
        <v>0</v>
      </c>
      <c r="L176" s="17">
        <f>COUNTIF('261008'!$C$18:$C$47,$C176)+COUNTIF('261008'!$I$18:$I$47,$C176)</f>
        <v>0</v>
      </c>
      <c r="M176" s="17">
        <f>COUNTIF('261009'!$C$18:$C$47,$C176)+COUNTIF('261009'!$I$18:$I$47,$C176)</f>
        <v>0</v>
      </c>
      <c r="N176" s="17">
        <f>COUNTIF('261010'!$C$18:$C$47,$C176)+COUNTIF('261010'!$I$18:$I$47,$C176)</f>
        <v>0</v>
      </c>
      <c r="O176" s="17">
        <f>COUNTIF('261011'!$C$18:$C$47,$C176)+COUNTIF('261011'!$I$18:$I$47,$C176)</f>
        <v>0</v>
      </c>
      <c r="P176" s="17">
        <f>COUNTIF('261012'!$C$18:$C$47,$C176)+COUNTIF('261012'!$I$18:$I$47,$C176)</f>
        <v>0</v>
      </c>
      <c r="Q176" s="17">
        <f>COUNTIF('261013'!$C$18:$C$47,$C176)+COUNTIF('261013'!$I$18:$I$47,$C176)</f>
        <v>0</v>
      </c>
      <c r="R176" s="17">
        <f>COUNTIF('261014'!$C$18:$C$47,$C176)+COUNTIF('261014'!$I$18:$I$47,$C176)</f>
        <v>0</v>
      </c>
      <c r="S176" s="17">
        <f>COUNTIF('261015'!$C$18:$C$47,$C176)+COUNTIF('261015'!$I$18:$I$47,$C176)</f>
        <v>0</v>
      </c>
      <c r="T176" s="17">
        <f>COUNTIF('261016'!$C$18:$C$47,$C176)+COUNTIF('261016'!$I$18:$I$47,$C176)</f>
        <v>0</v>
      </c>
      <c r="U176" s="17">
        <f>COUNTIF('261017'!$C$18:$C$47,$C176)+COUNTIF('261017'!$I$18:$I$47,$C176)</f>
        <v>0</v>
      </c>
      <c r="V176" s="17">
        <f>COUNTIF('261018'!$C$18:$C$47,$C176)+COUNTIF('261018'!$I$18:$I$47,$C176)</f>
        <v>0</v>
      </c>
      <c r="W176" s="17">
        <f>COUNTIF('261019'!$C$18:$C$47,$C176)+COUNTIF('261019'!$I$18:$I$47,$C176)</f>
        <v>0</v>
      </c>
      <c r="X176" s="17">
        <f>COUNTIF('261020'!$C$18:$C$47,$C176)+COUNTIF('261020'!$I$18:$I$47,$C176)</f>
        <v>0</v>
      </c>
      <c r="Y176" s="17">
        <f>COUNTIF('261021'!$C$18:$C$47,$C176)+COUNTIF('261021'!$I$18:$I$47,$C176)</f>
        <v>0</v>
      </c>
      <c r="Z176" s="17">
        <f>COUNTIF('261022'!$C$18:$C$47,$C176)+COUNTIF('261022'!$I$18:$I$47,$C176)</f>
        <v>0</v>
      </c>
      <c r="AA176" s="17">
        <f>COUNTIF('261023'!$C$18:$C$47,$C176)+COUNTIF('261023'!$I$18:$I$47,$C176)</f>
        <v>0</v>
      </c>
      <c r="AB176" s="17">
        <f>COUNTIF('261024'!$C$18:$C$47,$C176)+COUNTIF('261024'!$I$18:$I$47,$C176)</f>
        <v>0</v>
      </c>
      <c r="AC176" s="17">
        <f>COUNTIF('261025'!$C$18:$C$47,$C176)+COUNTIF('261025'!$I$18:$I$47,$C176)</f>
        <v>0</v>
      </c>
      <c r="AD176" s="17">
        <f>COUNTIF('261026'!$C$18:$C$47,$C176)+COUNTIF('261026'!$I$18:$I$47,$C176)</f>
        <v>0</v>
      </c>
      <c r="AE176" s="17">
        <f>COUNTIF('261027'!$C$18:$C$47,$C176)+COUNTIF('261027'!$I$18:$I$47,$C176)</f>
        <v>0</v>
      </c>
      <c r="AF176" s="17">
        <f>COUNTIF('261028'!$C$18:$C$47,$C176)+COUNTIF('261028'!$I$18:$I$47,$C176)</f>
        <v>0</v>
      </c>
      <c r="AG176" s="17">
        <f>COUNTIF('261029'!$C$18:$C$47,$C176)+COUNTIF('261029'!$I$18:$I$47,$C176)</f>
        <v>0</v>
      </c>
      <c r="AH176" s="17">
        <f>COUNTIF('261030'!$C$18:$C$47,$C176)+COUNTIF('261030'!$I$18:$I$47,$C176)</f>
        <v>0</v>
      </c>
      <c r="AI176" s="17">
        <f>COUNTIF('261031'!$C$18:$C$47,$C176)+COUNTIF('261031'!$I$18:$I$47,$C176)</f>
        <v>0</v>
      </c>
      <c r="AJ176" s="52">
        <f t="shared" si="8"/>
        <v>0</v>
      </c>
    </row>
    <row r="177" spans="2:39" ht="20.100000000000001" customHeight="1" x14ac:dyDescent="0.3">
      <c r="B177" s="36">
        <f t="shared" si="9"/>
        <v>173</v>
      </c>
      <c r="C177" s="19"/>
      <c r="D177" s="19"/>
      <c r="E177" s="17">
        <f>COUNTIF('261001'!$C$18:$C$47,$C177)+COUNTIF('261001'!$I$18:$I$47,$C177)</f>
        <v>0</v>
      </c>
      <c r="F177" s="17">
        <f>COUNTIF('261002'!$C$18:$C$47,$C177)+COUNTIF('261002'!$I$18:$I$47,$C177)</f>
        <v>0</v>
      </c>
      <c r="G177" s="17">
        <f>COUNTIF('261003'!$C$18:$C$47,$C177)+COUNTIF('261003'!$I$18:$I$47,$C177)</f>
        <v>0</v>
      </c>
      <c r="H177" s="17">
        <f>COUNTIF('261004'!$C$18:$C$47,$C177)+COUNTIF('261004'!$I$18:$I$47,$C177)</f>
        <v>0</v>
      </c>
      <c r="I177" s="17">
        <f>COUNTIF('261005'!$C$18:$C$47,$C177)+COUNTIF('261005'!$I$18:$I$47,$C177)</f>
        <v>0</v>
      </c>
      <c r="J177" s="17">
        <f>COUNTIF('261006'!$C$18:$C$47,$C177)+COUNTIF('261006'!$I$18:$I$47,$C177)</f>
        <v>0</v>
      </c>
      <c r="K177" s="17">
        <f>COUNTIF('261007'!$C$18:$C$47,$C177)+COUNTIF('261007'!$I$18:$I$47,$C177)</f>
        <v>0</v>
      </c>
      <c r="L177" s="17">
        <f>COUNTIF('261008'!$C$18:$C$47,$C177)+COUNTIF('261008'!$I$18:$I$47,$C177)</f>
        <v>0</v>
      </c>
      <c r="M177" s="17">
        <f>COUNTIF('261009'!$C$18:$C$47,$C177)+COUNTIF('261009'!$I$18:$I$47,$C177)</f>
        <v>0</v>
      </c>
      <c r="N177" s="17">
        <f>COUNTIF('261010'!$C$18:$C$47,$C177)+COUNTIF('261010'!$I$18:$I$47,$C177)</f>
        <v>0</v>
      </c>
      <c r="O177" s="17">
        <f>COUNTIF('261011'!$C$18:$C$47,$C177)+COUNTIF('261011'!$I$18:$I$47,$C177)</f>
        <v>0</v>
      </c>
      <c r="P177" s="17">
        <f>COUNTIF('261012'!$C$18:$C$47,$C177)+COUNTIF('261012'!$I$18:$I$47,$C177)</f>
        <v>0</v>
      </c>
      <c r="Q177" s="17">
        <f>COUNTIF('261013'!$C$18:$C$47,$C177)+COUNTIF('261013'!$I$18:$I$47,$C177)</f>
        <v>0</v>
      </c>
      <c r="R177" s="17">
        <f>COUNTIF('261014'!$C$18:$C$47,$C177)+COUNTIF('261014'!$I$18:$I$47,$C177)</f>
        <v>0</v>
      </c>
      <c r="S177" s="17">
        <f>COUNTIF('261015'!$C$18:$C$47,$C177)+COUNTIF('261015'!$I$18:$I$47,$C177)</f>
        <v>0</v>
      </c>
      <c r="T177" s="17">
        <f>COUNTIF('261016'!$C$18:$C$47,$C177)+COUNTIF('261016'!$I$18:$I$47,$C177)</f>
        <v>0</v>
      </c>
      <c r="U177" s="17">
        <f>COUNTIF('261017'!$C$18:$C$47,$C177)+COUNTIF('261017'!$I$18:$I$47,$C177)</f>
        <v>0</v>
      </c>
      <c r="V177" s="17">
        <f>COUNTIF('261018'!$C$18:$C$47,$C177)+COUNTIF('261018'!$I$18:$I$47,$C177)</f>
        <v>0</v>
      </c>
      <c r="W177" s="17">
        <f>COUNTIF('261019'!$C$18:$C$47,$C177)+COUNTIF('261019'!$I$18:$I$47,$C177)</f>
        <v>0</v>
      </c>
      <c r="X177" s="17">
        <f>COUNTIF('261020'!$C$18:$C$47,$C177)+COUNTIF('261020'!$I$18:$I$47,$C177)</f>
        <v>0</v>
      </c>
      <c r="Y177" s="17">
        <f>COUNTIF('261021'!$C$18:$C$47,$C177)+COUNTIF('261021'!$I$18:$I$47,$C177)</f>
        <v>0</v>
      </c>
      <c r="Z177" s="17">
        <f>COUNTIF('261022'!$C$18:$C$47,$C177)+COUNTIF('261022'!$I$18:$I$47,$C177)</f>
        <v>0</v>
      </c>
      <c r="AA177" s="17">
        <f>COUNTIF('261023'!$C$18:$C$47,$C177)+COUNTIF('261023'!$I$18:$I$47,$C177)</f>
        <v>0</v>
      </c>
      <c r="AB177" s="17">
        <f>COUNTIF('261024'!$C$18:$C$47,$C177)+COUNTIF('261024'!$I$18:$I$47,$C177)</f>
        <v>0</v>
      </c>
      <c r="AC177" s="17">
        <f>COUNTIF('261025'!$C$18:$C$47,$C177)+COUNTIF('261025'!$I$18:$I$47,$C177)</f>
        <v>0</v>
      </c>
      <c r="AD177" s="17">
        <f>COUNTIF('261026'!$C$18:$C$47,$C177)+COUNTIF('261026'!$I$18:$I$47,$C177)</f>
        <v>0</v>
      </c>
      <c r="AE177" s="17">
        <f>COUNTIF('261027'!$C$18:$C$47,$C177)+COUNTIF('261027'!$I$18:$I$47,$C177)</f>
        <v>0</v>
      </c>
      <c r="AF177" s="17">
        <f>COUNTIF('261028'!$C$18:$C$47,$C177)+COUNTIF('261028'!$I$18:$I$47,$C177)</f>
        <v>0</v>
      </c>
      <c r="AG177" s="17">
        <f>COUNTIF('261029'!$C$18:$C$47,$C177)+COUNTIF('261029'!$I$18:$I$47,$C177)</f>
        <v>0</v>
      </c>
      <c r="AH177" s="17">
        <f>COUNTIF('261030'!$C$18:$C$47,$C177)+COUNTIF('261030'!$I$18:$I$47,$C177)</f>
        <v>0</v>
      </c>
      <c r="AI177" s="17">
        <f>COUNTIF('261031'!$C$18:$C$47,$C177)+COUNTIF('261031'!$I$18:$I$47,$C177)</f>
        <v>0</v>
      </c>
      <c r="AJ177" s="52">
        <f t="shared" si="8"/>
        <v>0</v>
      </c>
    </row>
    <row r="178" spans="2:39" ht="20.100000000000001" customHeight="1" x14ac:dyDescent="0.3">
      <c r="B178" s="36">
        <f t="shared" si="9"/>
        <v>174</v>
      </c>
      <c r="C178" s="19"/>
      <c r="D178" s="19"/>
      <c r="E178" s="17">
        <f>COUNTIF('261001'!$C$18:$C$47,$C178)+COUNTIF('261001'!$I$18:$I$47,$C178)</f>
        <v>0</v>
      </c>
      <c r="F178" s="17">
        <f>COUNTIF('261002'!$C$18:$C$47,$C178)+COUNTIF('261002'!$I$18:$I$47,$C178)</f>
        <v>0</v>
      </c>
      <c r="G178" s="17">
        <f>COUNTIF('261003'!$C$18:$C$47,$C178)+COUNTIF('261003'!$I$18:$I$47,$C178)</f>
        <v>0</v>
      </c>
      <c r="H178" s="17">
        <f>COUNTIF('261004'!$C$18:$C$47,$C178)+COUNTIF('261004'!$I$18:$I$47,$C178)</f>
        <v>0</v>
      </c>
      <c r="I178" s="17">
        <f>COUNTIF('261005'!$C$18:$C$47,$C178)+COUNTIF('261005'!$I$18:$I$47,$C178)</f>
        <v>0</v>
      </c>
      <c r="J178" s="17">
        <f>COUNTIF('261006'!$C$18:$C$47,$C178)+COUNTIF('261006'!$I$18:$I$47,$C178)</f>
        <v>0</v>
      </c>
      <c r="K178" s="17">
        <f>COUNTIF('261007'!$C$18:$C$47,$C178)+COUNTIF('261007'!$I$18:$I$47,$C178)</f>
        <v>0</v>
      </c>
      <c r="L178" s="17">
        <f>COUNTIF('261008'!$C$18:$C$47,$C178)+COUNTIF('261008'!$I$18:$I$47,$C178)</f>
        <v>0</v>
      </c>
      <c r="M178" s="17">
        <f>COUNTIF('261009'!$C$18:$C$47,$C178)+COUNTIF('261009'!$I$18:$I$47,$C178)</f>
        <v>0</v>
      </c>
      <c r="N178" s="17">
        <f>COUNTIF('261010'!$C$18:$C$47,$C178)+COUNTIF('261010'!$I$18:$I$47,$C178)</f>
        <v>0</v>
      </c>
      <c r="O178" s="17">
        <f>COUNTIF('261011'!$C$18:$C$47,$C178)+COUNTIF('261011'!$I$18:$I$47,$C178)</f>
        <v>0</v>
      </c>
      <c r="P178" s="17">
        <f>COUNTIF('261012'!$C$18:$C$47,$C178)+COUNTIF('261012'!$I$18:$I$47,$C178)</f>
        <v>0</v>
      </c>
      <c r="Q178" s="17">
        <f>COUNTIF('261013'!$C$18:$C$47,$C178)+COUNTIF('261013'!$I$18:$I$47,$C178)</f>
        <v>0</v>
      </c>
      <c r="R178" s="17">
        <f>COUNTIF('261014'!$C$18:$C$47,$C178)+COUNTIF('261014'!$I$18:$I$47,$C178)</f>
        <v>0</v>
      </c>
      <c r="S178" s="17">
        <f>COUNTIF('261015'!$C$18:$C$47,$C178)+COUNTIF('261015'!$I$18:$I$47,$C178)</f>
        <v>0</v>
      </c>
      <c r="T178" s="17">
        <f>COUNTIF('261016'!$C$18:$C$47,$C178)+COUNTIF('261016'!$I$18:$I$47,$C178)</f>
        <v>0</v>
      </c>
      <c r="U178" s="17">
        <f>COUNTIF('261017'!$C$18:$C$47,$C178)+COUNTIF('261017'!$I$18:$I$47,$C178)</f>
        <v>0</v>
      </c>
      <c r="V178" s="17">
        <f>COUNTIF('261018'!$C$18:$C$47,$C178)+COUNTIF('261018'!$I$18:$I$47,$C178)</f>
        <v>0</v>
      </c>
      <c r="W178" s="17">
        <f>COUNTIF('261019'!$C$18:$C$47,$C178)+COUNTIF('261019'!$I$18:$I$47,$C178)</f>
        <v>0</v>
      </c>
      <c r="X178" s="17">
        <f>COUNTIF('261020'!$C$18:$C$47,$C178)+COUNTIF('261020'!$I$18:$I$47,$C178)</f>
        <v>0</v>
      </c>
      <c r="Y178" s="17">
        <f>COUNTIF('261021'!$C$18:$C$47,$C178)+COUNTIF('261021'!$I$18:$I$47,$C178)</f>
        <v>0</v>
      </c>
      <c r="Z178" s="17">
        <f>COUNTIF('261022'!$C$18:$C$47,$C178)+COUNTIF('261022'!$I$18:$I$47,$C178)</f>
        <v>0</v>
      </c>
      <c r="AA178" s="17">
        <f>COUNTIF('261023'!$C$18:$C$47,$C178)+COUNTIF('261023'!$I$18:$I$47,$C178)</f>
        <v>0</v>
      </c>
      <c r="AB178" s="17">
        <f>COUNTIF('261024'!$C$18:$C$47,$C178)+COUNTIF('261024'!$I$18:$I$47,$C178)</f>
        <v>0</v>
      </c>
      <c r="AC178" s="17">
        <f>COUNTIF('261025'!$C$18:$C$47,$C178)+COUNTIF('261025'!$I$18:$I$47,$C178)</f>
        <v>0</v>
      </c>
      <c r="AD178" s="17">
        <f>COUNTIF('261026'!$C$18:$C$47,$C178)+COUNTIF('261026'!$I$18:$I$47,$C178)</f>
        <v>0</v>
      </c>
      <c r="AE178" s="17">
        <f>COUNTIF('261027'!$C$18:$C$47,$C178)+COUNTIF('261027'!$I$18:$I$47,$C178)</f>
        <v>0</v>
      </c>
      <c r="AF178" s="17">
        <f>COUNTIF('261028'!$C$18:$C$47,$C178)+COUNTIF('261028'!$I$18:$I$47,$C178)</f>
        <v>0</v>
      </c>
      <c r="AG178" s="17">
        <f>COUNTIF('261029'!$C$18:$C$47,$C178)+COUNTIF('261029'!$I$18:$I$47,$C178)</f>
        <v>0</v>
      </c>
      <c r="AH178" s="17">
        <f>COUNTIF('261030'!$C$18:$C$47,$C178)+COUNTIF('261030'!$I$18:$I$47,$C178)</f>
        <v>0</v>
      </c>
      <c r="AI178" s="17">
        <f>COUNTIF('261031'!$C$18:$C$47,$C178)+COUNTIF('261031'!$I$18:$I$47,$C178)</f>
        <v>0</v>
      </c>
      <c r="AJ178" s="52">
        <f t="shared" si="8"/>
        <v>0</v>
      </c>
    </row>
    <row r="179" spans="2:39" ht="20.100000000000001" customHeight="1" x14ac:dyDescent="0.3">
      <c r="B179" s="36">
        <f t="shared" si="9"/>
        <v>175</v>
      </c>
      <c r="C179" s="19"/>
      <c r="D179" s="19"/>
      <c r="E179" s="17">
        <f>COUNTIF('261001'!$C$18:$C$47,$C179)+COUNTIF('261001'!$I$18:$I$47,$C179)</f>
        <v>0</v>
      </c>
      <c r="F179" s="17">
        <f>COUNTIF('261002'!$C$18:$C$47,$C179)+COUNTIF('261002'!$I$18:$I$47,$C179)</f>
        <v>0</v>
      </c>
      <c r="G179" s="17">
        <f>COUNTIF('261003'!$C$18:$C$47,$C179)+COUNTIF('261003'!$I$18:$I$47,$C179)</f>
        <v>0</v>
      </c>
      <c r="H179" s="17">
        <f>COUNTIF('261004'!$C$18:$C$47,$C179)+COUNTIF('261004'!$I$18:$I$47,$C179)</f>
        <v>0</v>
      </c>
      <c r="I179" s="17">
        <f>COUNTIF('261005'!$C$18:$C$47,$C179)+COUNTIF('261005'!$I$18:$I$47,$C179)</f>
        <v>0</v>
      </c>
      <c r="J179" s="17">
        <f>COUNTIF('261006'!$C$18:$C$47,$C179)+COUNTIF('261006'!$I$18:$I$47,$C179)</f>
        <v>0</v>
      </c>
      <c r="K179" s="17">
        <f>COUNTIF('261007'!$C$18:$C$47,$C179)+COUNTIF('261007'!$I$18:$I$47,$C179)</f>
        <v>0</v>
      </c>
      <c r="L179" s="17">
        <f>COUNTIF('261008'!$C$18:$C$47,$C179)+COUNTIF('261008'!$I$18:$I$47,$C179)</f>
        <v>0</v>
      </c>
      <c r="M179" s="17">
        <f>COUNTIF('261009'!$C$18:$C$47,$C179)+COUNTIF('261009'!$I$18:$I$47,$C179)</f>
        <v>0</v>
      </c>
      <c r="N179" s="17">
        <f>COUNTIF('261010'!$C$18:$C$47,$C179)+COUNTIF('261010'!$I$18:$I$47,$C179)</f>
        <v>0</v>
      </c>
      <c r="O179" s="17">
        <f>COUNTIF('261011'!$C$18:$C$47,$C179)+COUNTIF('261011'!$I$18:$I$47,$C179)</f>
        <v>0</v>
      </c>
      <c r="P179" s="17">
        <f>COUNTIF('261012'!$C$18:$C$47,$C179)+COUNTIF('261012'!$I$18:$I$47,$C179)</f>
        <v>0</v>
      </c>
      <c r="Q179" s="17">
        <f>COUNTIF('261013'!$C$18:$C$47,$C179)+COUNTIF('261013'!$I$18:$I$47,$C179)</f>
        <v>0</v>
      </c>
      <c r="R179" s="17">
        <f>COUNTIF('261014'!$C$18:$C$47,$C179)+COUNTIF('261014'!$I$18:$I$47,$C179)</f>
        <v>0</v>
      </c>
      <c r="S179" s="17">
        <f>COUNTIF('261015'!$C$18:$C$47,$C179)+COUNTIF('261015'!$I$18:$I$47,$C179)</f>
        <v>0</v>
      </c>
      <c r="T179" s="17">
        <f>COUNTIF('261016'!$C$18:$C$47,$C179)+COUNTIF('261016'!$I$18:$I$47,$C179)</f>
        <v>0</v>
      </c>
      <c r="U179" s="17">
        <f>COUNTIF('261017'!$C$18:$C$47,$C179)+COUNTIF('261017'!$I$18:$I$47,$C179)</f>
        <v>0</v>
      </c>
      <c r="V179" s="17">
        <f>COUNTIF('261018'!$C$18:$C$47,$C179)+COUNTIF('261018'!$I$18:$I$47,$C179)</f>
        <v>0</v>
      </c>
      <c r="W179" s="17">
        <f>COUNTIF('261019'!$C$18:$C$47,$C179)+COUNTIF('261019'!$I$18:$I$47,$C179)</f>
        <v>0</v>
      </c>
      <c r="X179" s="17">
        <f>COUNTIF('261020'!$C$18:$C$47,$C179)+COUNTIF('261020'!$I$18:$I$47,$C179)</f>
        <v>0</v>
      </c>
      <c r="Y179" s="17">
        <f>COUNTIF('261021'!$C$18:$C$47,$C179)+COUNTIF('261021'!$I$18:$I$47,$C179)</f>
        <v>0</v>
      </c>
      <c r="Z179" s="17">
        <f>COUNTIF('261022'!$C$18:$C$47,$C179)+COUNTIF('261022'!$I$18:$I$47,$C179)</f>
        <v>0</v>
      </c>
      <c r="AA179" s="17">
        <f>COUNTIF('261023'!$C$18:$C$47,$C179)+COUNTIF('261023'!$I$18:$I$47,$C179)</f>
        <v>0</v>
      </c>
      <c r="AB179" s="17">
        <f>COUNTIF('261024'!$C$18:$C$47,$C179)+COUNTIF('261024'!$I$18:$I$47,$C179)</f>
        <v>0</v>
      </c>
      <c r="AC179" s="17">
        <f>COUNTIF('261025'!$C$18:$C$47,$C179)+COUNTIF('261025'!$I$18:$I$47,$C179)</f>
        <v>0</v>
      </c>
      <c r="AD179" s="17">
        <f>COUNTIF('261026'!$C$18:$C$47,$C179)+COUNTIF('261026'!$I$18:$I$47,$C179)</f>
        <v>0</v>
      </c>
      <c r="AE179" s="17">
        <f>COUNTIF('261027'!$C$18:$C$47,$C179)+COUNTIF('261027'!$I$18:$I$47,$C179)</f>
        <v>0</v>
      </c>
      <c r="AF179" s="17">
        <f>COUNTIF('261028'!$C$18:$C$47,$C179)+COUNTIF('261028'!$I$18:$I$47,$C179)</f>
        <v>0</v>
      </c>
      <c r="AG179" s="17">
        <f>COUNTIF('261029'!$C$18:$C$47,$C179)+COUNTIF('261029'!$I$18:$I$47,$C179)</f>
        <v>0</v>
      </c>
      <c r="AH179" s="17">
        <f>COUNTIF('261030'!$C$18:$C$47,$C179)+COUNTIF('261030'!$I$18:$I$47,$C179)</f>
        <v>0</v>
      </c>
      <c r="AI179" s="17">
        <f>COUNTIF('261031'!$C$18:$C$47,$C179)+COUNTIF('261031'!$I$18:$I$47,$C179)</f>
        <v>0</v>
      </c>
      <c r="AJ179" s="52">
        <f t="shared" si="8"/>
        <v>0</v>
      </c>
    </row>
    <row r="180" spans="2:39" ht="20.100000000000001" customHeight="1" x14ac:dyDescent="0.3">
      <c r="B180" s="36">
        <f t="shared" si="9"/>
        <v>176</v>
      </c>
      <c r="C180" s="19"/>
      <c r="D180" s="19"/>
      <c r="E180" s="17">
        <f>COUNTIF('261001'!$C$18:$C$47,$C180)+COUNTIF('261001'!$I$18:$I$47,$C180)</f>
        <v>0</v>
      </c>
      <c r="F180" s="17">
        <f>COUNTIF('261002'!$C$18:$C$47,$C180)+COUNTIF('261002'!$I$18:$I$47,$C180)</f>
        <v>0</v>
      </c>
      <c r="G180" s="17">
        <f>COUNTIF('261003'!$C$18:$C$47,$C180)+COUNTIF('261003'!$I$18:$I$47,$C180)</f>
        <v>0</v>
      </c>
      <c r="H180" s="17">
        <f>COUNTIF('261004'!$C$18:$C$47,$C180)+COUNTIF('261004'!$I$18:$I$47,$C180)</f>
        <v>0</v>
      </c>
      <c r="I180" s="17">
        <f>COUNTIF('261005'!$C$18:$C$47,$C180)+COUNTIF('261005'!$I$18:$I$47,$C180)</f>
        <v>0</v>
      </c>
      <c r="J180" s="17">
        <f>COUNTIF('261006'!$C$18:$C$47,$C180)+COUNTIF('261006'!$I$18:$I$47,$C180)</f>
        <v>0</v>
      </c>
      <c r="K180" s="17">
        <f>COUNTIF('261007'!$C$18:$C$47,$C180)+COUNTIF('261007'!$I$18:$I$47,$C180)</f>
        <v>0</v>
      </c>
      <c r="L180" s="17">
        <f>COUNTIF('261008'!$C$18:$C$47,$C180)+COUNTIF('261008'!$I$18:$I$47,$C180)</f>
        <v>0</v>
      </c>
      <c r="M180" s="17">
        <f>COUNTIF('261009'!$C$18:$C$47,$C180)+COUNTIF('261009'!$I$18:$I$47,$C180)</f>
        <v>0</v>
      </c>
      <c r="N180" s="17">
        <f>COUNTIF('261010'!$C$18:$C$47,$C180)+COUNTIF('261010'!$I$18:$I$47,$C180)</f>
        <v>0</v>
      </c>
      <c r="O180" s="17">
        <f>COUNTIF('261011'!$C$18:$C$47,$C180)+COUNTIF('261011'!$I$18:$I$47,$C180)</f>
        <v>0</v>
      </c>
      <c r="P180" s="17">
        <f>COUNTIF('261012'!$C$18:$C$47,$C180)+COUNTIF('261012'!$I$18:$I$47,$C180)</f>
        <v>0</v>
      </c>
      <c r="Q180" s="17">
        <f>COUNTIF('261013'!$C$18:$C$47,$C180)+COUNTIF('261013'!$I$18:$I$47,$C180)</f>
        <v>0</v>
      </c>
      <c r="R180" s="17">
        <f>COUNTIF('261014'!$C$18:$C$47,$C180)+COUNTIF('261014'!$I$18:$I$47,$C180)</f>
        <v>0</v>
      </c>
      <c r="S180" s="17">
        <f>COUNTIF('261015'!$C$18:$C$47,$C180)+COUNTIF('261015'!$I$18:$I$47,$C180)</f>
        <v>0</v>
      </c>
      <c r="T180" s="17">
        <f>COUNTIF('261016'!$C$18:$C$47,$C180)+COUNTIF('261016'!$I$18:$I$47,$C180)</f>
        <v>0</v>
      </c>
      <c r="U180" s="17">
        <f>COUNTIF('261017'!$C$18:$C$47,$C180)+COUNTIF('261017'!$I$18:$I$47,$C180)</f>
        <v>0</v>
      </c>
      <c r="V180" s="17">
        <f>COUNTIF('261018'!$C$18:$C$47,$C180)+COUNTIF('261018'!$I$18:$I$47,$C180)</f>
        <v>0</v>
      </c>
      <c r="W180" s="17">
        <f>COUNTIF('261019'!$C$18:$C$47,$C180)+COUNTIF('261019'!$I$18:$I$47,$C180)</f>
        <v>0</v>
      </c>
      <c r="X180" s="17">
        <f>COUNTIF('261020'!$C$18:$C$47,$C180)+COUNTIF('261020'!$I$18:$I$47,$C180)</f>
        <v>0</v>
      </c>
      <c r="Y180" s="17">
        <f>COUNTIF('261021'!$C$18:$C$47,$C180)+COUNTIF('261021'!$I$18:$I$47,$C180)</f>
        <v>0</v>
      </c>
      <c r="Z180" s="17">
        <f>COUNTIF('261022'!$C$18:$C$47,$C180)+COUNTIF('261022'!$I$18:$I$47,$C180)</f>
        <v>0</v>
      </c>
      <c r="AA180" s="17">
        <f>COUNTIF('261023'!$C$18:$C$47,$C180)+COUNTIF('261023'!$I$18:$I$47,$C180)</f>
        <v>0</v>
      </c>
      <c r="AB180" s="17">
        <f>COUNTIF('261024'!$C$18:$C$47,$C180)+COUNTIF('261024'!$I$18:$I$47,$C180)</f>
        <v>0</v>
      </c>
      <c r="AC180" s="17">
        <f>COUNTIF('261025'!$C$18:$C$47,$C180)+COUNTIF('261025'!$I$18:$I$47,$C180)</f>
        <v>0</v>
      </c>
      <c r="AD180" s="17">
        <f>COUNTIF('261026'!$C$18:$C$47,$C180)+COUNTIF('261026'!$I$18:$I$47,$C180)</f>
        <v>0</v>
      </c>
      <c r="AE180" s="17">
        <f>COUNTIF('261027'!$C$18:$C$47,$C180)+COUNTIF('261027'!$I$18:$I$47,$C180)</f>
        <v>0</v>
      </c>
      <c r="AF180" s="17">
        <f>COUNTIF('261028'!$C$18:$C$47,$C180)+COUNTIF('261028'!$I$18:$I$47,$C180)</f>
        <v>0</v>
      </c>
      <c r="AG180" s="17">
        <f>COUNTIF('261029'!$C$18:$C$47,$C180)+COUNTIF('261029'!$I$18:$I$47,$C180)</f>
        <v>0</v>
      </c>
      <c r="AH180" s="17">
        <f>COUNTIF('261030'!$C$18:$C$47,$C180)+COUNTIF('261030'!$I$18:$I$47,$C180)</f>
        <v>0</v>
      </c>
      <c r="AI180" s="17">
        <f>COUNTIF('261031'!$C$18:$C$47,$C180)+COUNTIF('261031'!$I$18:$I$47,$C180)</f>
        <v>0</v>
      </c>
      <c r="AJ180" s="52">
        <f t="shared" si="8"/>
        <v>0</v>
      </c>
    </row>
    <row r="181" spans="2:39" ht="20.100000000000001" customHeight="1" x14ac:dyDescent="0.3">
      <c r="B181" s="36">
        <f t="shared" si="9"/>
        <v>177</v>
      </c>
      <c r="C181" s="19"/>
      <c r="D181" s="19"/>
      <c r="E181" s="17">
        <f>COUNTIF('261001'!$C$18:$C$47,$C181)+COUNTIF('261001'!$I$18:$I$47,$C181)</f>
        <v>0</v>
      </c>
      <c r="F181" s="17">
        <f>COUNTIF('261002'!$C$18:$C$47,$C181)+COUNTIF('261002'!$I$18:$I$47,$C181)</f>
        <v>0</v>
      </c>
      <c r="G181" s="17">
        <f>COUNTIF('261003'!$C$18:$C$47,$C181)+COUNTIF('261003'!$I$18:$I$47,$C181)</f>
        <v>0</v>
      </c>
      <c r="H181" s="17">
        <f>COUNTIF('261004'!$C$18:$C$47,$C181)+COUNTIF('261004'!$I$18:$I$47,$C181)</f>
        <v>0</v>
      </c>
      <c r="I181" s="17">
        <f>COUNTIF('261005'!$C$18:$C$47,$C181)+COUNTIF('261005'!$I$18:$I$47,$C181)</f>
        <v>0</v>
      </c>
      <c r="J181" s="17">
        <f>COUNTIF('261006'!$C$18:$C$47,$C181)+COUNTIF('261006'!$I$18:$I$47,$C181)</f>
        <v>0</v>
      </c>
      <c r="K181" s="17">
        <f>COUNTIF('261007'!$C$18:$C$47,$C181)+COUNTIF('261007'!$I$18:$I$47,$C181)</f>
        <v>0</v>
      </c>
      <c r="L181" s="17">
        <f>COUNTIF('261008'!$C$18:$C$47,$C181)+COUNTIF('261008'!$I$18:$I$47,$C181)</f>
        <v>0</v>
      </c>
      <c r="M181" s="17">
        <f>COUNTIF('261009'!$C$18:$C$47,$C181)+COUNTIF('261009'!$I$18:$I$47,$C181)</f>
        <v>0</v>
      </c>
      <c r="N181" s="17">
        <f>COUNTIF('261010'!$C$18:$C$47,$C181)+COUNTIF('261010'!$I$18:$I$47,$C181)</f>
        <v>0</v>
      </c>
      <c r="O181" s="17">
        <f>COUNTIF('261011'!$C$18:$C$47,$C181)+COUNTIF('261011'!$I$18:$I$47,$C181)</f>
        <v>0</v>
      </c>
      <c r="P181" s="17">
        <f>COUNTIF('261012'!$C$18:$C$47,$C181)+COUNTIF('261012'!$I$18:$I$47,$C181)</f>
        <v>0</v>
      </c>
      <c r="Q181" s="17">
        <f>COUNTIF('261013'!$C$18:$C$47,$C181)+COUNTIF('261013'!$I$18:$I$47,$C181)</f>
        <v>0</v>
      </c>
      <c r="R181" s="17">
        <f>COUNTIF('261014'!$C$18:$C$47,$C181)+COUNTIF('261014'!$I$18:$I$47,$C181)</f>
        <v>0</v>
      </c>
      <c r="S181" s="17">
        <f>COUNTIF('261015'!$C$18:$C$47,$C181)+COUNTIF('261015'!$I$18:$I$47,$C181)</f>
        <v>0</v>
      </c>
      <c r="T181" s="17">
        <f>COUNTIF('261016'!$C$18:$C$47,$C181)+COUNTIF('261016'!$I$18:$I$47,$C181)</f>
        <v>0</v>
      </c>
      <c r="U181" s="17">
        <f>COUNTIF('261017'!$C$18:$C$47,$C181)+COUNTIF('261017'!$I$18:$I$47,$C181)</f>
        <v>0</v>
      </c>
      <c r="V181" s="17">
        <f>COUNTIF('261018'!$C$18:$C$47,$C181)+COUNTIF('261018'!$I$18:$I$47,$C181)</f>
        <v>0</v>
      </c>
      <c r="W181" s="17">
        <f>COUNTIF('261019'!$C$18:$C$47,$C181)+COUNTIF('261019'!$I$18:$I$47,$C181)</f>
        <v>0</v>
      </c>
      <c r="X181" s="17">
        <f>COUNTIF('261020'!$C$18:$C$47,$C181)+COUNTIF('261020'!$I$18:$I$47,$C181)</f>
        <v>0</v>
      </c>
      <c r="Y181" s="17">
        <f>COUNTIF('261021'!$C$18:$C$47,$C181)+COUNTIF('261021'!$I$18:$I$47,$C181)</f>
        <v>0</v>
      </c>
      <c r="Z181" s="17">
        <f>COUNTIF('261022'!$C$18:$C$47,$C181)+COUNTIF('261022'!$I$18:$I$47,$C181)</f>
        <v>0</v>
      </c>
      <c r="AA181" s="17">
        <f>COUNTIF('261023'!$C$18:$C$47,$C181)+COUNTIF('261023'!$I$18:$I$47,$C181)</f>
        <v>0</v>
      </c>
      <c r="AB181" s="17">
        <f>COUNTIF('261024'!$C$18:$C$47,$C181)+COUNTIF('261024'!$I$18:$I$47,$C181)</f>
        <v>0</v>
      </c>
      <c r="AC181" s="17">
        <f>COUNTIF('261025'!$C$18:$C$47,$C181)+COUNTIF('261025'!$I$18:$I$47,$C181)</f>
        <v>0</v>
      </c>
      <c r="AD181" s="17">
        <f>COUNTIF('261026'!$C$18:$C$47,$C181)+COUNTIF('261026'!$I$18:$I$47,$C181)</f>
        <v>0</v>
      </c>
      <c r="AE181" s="17">
        <f>COUNTIF('261027'!$C$18:$C$47,$C181)+COUNTIF('261027'!$I$18:$I$47,$C181)</f>
        <v>0</v>
      </c>
      <c r="AF181" s="17">
        <f>COUNTIF('261028'!$C$18:$C$47,$C181)+COUNTIF('261028'!$I$18:$I$47,$C181)</f>
        <v>0</v>
      </c>
      <c r="AG181" s="17">
        <f>COUNTIF('261029'!$C$18:$C$47,$C181)+COUNTIF('261029'!$I$18:$I$47,$C181)</f>
        <v>0</v>
      </c>
      <c r="AH181" s="17">
        <f>COUNTIF('261030'!$C$18:$C$47,$C181)+COUNTIF('261030'!$I$18:$I$47,$C181)</f>
        <v>0</v>
      </c>
      <c r="AI181" s="17">
        <f>COUNTIF('261031'!$C$18:$C$47,$C181)+COUNTIF('261031'!$I$18:$I$47,$C181)</f>
        <v>0</v>
      </c>
      <c r="AJ181" s="52">
        <f t="shared" si="8"/>
        <v>0</v>
      </c>
    </row>
    <row r="182" spans="2:39" ht="20.100000000000001" customHeight="1" x14ac:dyDescent="0.3">
      <c r="B182" s="36">
        <f t="shared" si="9"/>
        <v>178</v>
      </c>
      <c r="C182" s="19"/>
      <c r="D182" s="19"/>
      <c r="E182" s="17">
        <f>COUNTIF('261001'!$C$18:$C$47,$C182)+COUNTIF('261001'!$I$18:$I$47,$C182)</f>
        <v>0</v>
      </c>
      <c r="F182" s="17">
        <f>COUNTIF('261002'!$C$18:$C$47,$C182)+COUNTIF('261002'!$I$18:$I$47,$C182)</f>
        <v>0</v>
      </c>
      <c r="G182" s="17">
        <f>COUNTIF('261003'!$C$18:$C$47,$C182)+COUNTIF('261003'!$I$18:$I$47,$C182)</f>
        <v>0</v>
      </c>
      <c r="H182" s="17">
        <f>COUNTIF('261004'!$C$18:$C$47,$C182)+COUNTIF('261004'!$I$18:$I$47,$C182)</f>
        <v>0</v>
      </c>
      <c r="I182" s="17">
        <f>COUNTIF('261005'!$C$18:$C$47,$C182)+COUNTIF('261005'!$I$18:$I$47,$C182)</f>
        <v>0</v>
      </c>
      <c r="J182" s="17">
        <f>COUNTIF('261006'!$C$18:$C$47,$C182)+COUNTIF('261006'!$I$18:$I$47,$C182)</f>
        <v>0</v>
      </c>
      <c r="K182" s="17">
        <f>COUNTIF('261007'!$C$18:$C$47,$C182)+COUNTIF('261007'!$I$18:$I$47,$C182)</f>
        <v>0</v>
      </c>
      <c r="L182" s="17">
        <f>COUNTIF('261008'!$C$18:$C$47,$C182)+COUNTIF('261008'!$I$18:$I$47,$C182)</f>
        <v>0</v>
      </c>
      <c r="M182" s="17">
        <f>COUNTIF('261009'!$C$18:$C$47,$C182)+COUNTIF('261009'!$I$18:$I$47,$C182)</f>
        <v>0</v>
      </c>
      <c r="N182" s="17">
        <f>COUNTIF('261010'!$C$18:$C$47,$C182)+COUNTIF('261010'!$I$18:$I$47,$C182)</f>
        <v>0</v>
      </c>
      <c r="O182" s="17">
        <f>COUNTIF('261011'!$C$18:$C$47,$C182)+COUNTIF('261011'!$I$18:$I$47,$C182)</f>
        <v>0</v>
      </c>
      <c r="P182" s="17">
        <f>COUNTIF('261012'!$C$18:$C$47,$C182)+COUNTIF('261012'!$I$18:$I$47,$C182)</f>
        <v>0</v>
      </c>
      <c r="Q182" s="17">
        <f>COUNTIF('261013'!$C$18:$C$47,$C182)+COUNTIF('261013'!$I$18:$I$47,$C182)</f>
        <v>0</v>
      </c>
      <c r="R182" s="17">
        <f>COUNTIF('261014'!$C$18:$C$47,$C182)+COUNTIF('261014'!$I$18:$I$47,$C182)</f>
        <v>0</v>
      </c>
      <c r="S182" s="17">
        <f>COUNTIF('261015'!$C$18:$C$47,$C182)+COUNTIF('261015'!$I$18:$I$47,$C182)</f>
        <v>0</v>
      </c>
      <c r="T182" s="17">
        <f>COUNTIF('261016'!$C$18:$C$47,$C182)+COUNTIF('261016'!$I$18:$I$47,$C182)</f>
        <v>0</v>
      </c>
      <c r="U182" s="17">
        <f>COUNTIF('261017'!$C$18:$C$47,$C182)+COUNTIF('261017'!$I$18:$I$47,$C182)</f>
        <v>0</v>
      </c>
      <c r="V182" s="17">
        <f>COUNTIF('261018'!$C$18:$C$47,$C182)+COUNTIF('261018'!$I$18:$I$47,$C182)</f>
        <v>0</v>
      </c>
      <c r="W182" s="17">
        <f>COUNTIF('261019'!$C$18:$C$47,$C182)+COUNTIF('261019'!$I$18:$I$47,$C182)</f>
        <v>0</v>
      </c>
      <c r="X182" s="17">
        <f>COUNTIF('261020'!$C$18:$C$47,$C182)+COUNTIF('261020'!$I$18:$I$47,$C182)</f>
        <v>0</v>
      </c>
      <c r="Y182" s="17">
        <f>COUNTIF('261021'!$C$18:$C$47,$C182)+COUNTIF('261021'!$I$18:$I$47,$C182)</f>
        <v>0</v>
      </c>
      <c r="Z182" s="17">
        <f>COUNTIF('261022'!$C$18:$C$47,$C182)+COUNTIF('261022'!$I$18:$I$47,$C182)</f>
        <v>0</v>
      </c>
      <c r="AA182" s="17">
        <f>COUNTIF('261023'!$C$18:$C$47,$C182)+COUNTIF('261023'!$I$18:$I$47,$C182)</f>
        <v>0</v>
      </c>
      <c r="AB182" s="17">
        <f>COUNTIF('261024'!$C$18:$C$47,$C182)+COUNTIF('261024'!$I$18:$I$47,$C182)</f>
        <v>0</v>
      </c>
      <c r="AC182" s="17">
        <f>COUNTIF('261025'!$C$18:$C$47,$C182)+COUNTIF('261025'!$I$18:$I$47,$C182)</f>
        <v>0</v>
      </c>
      <c r="AD182" s="17">
        <f>COUNTIF('261026'!$C$18:$C$47,$C182)+COUNTIF('261026'!$I$18:$I$47,$C182)</f>
        <v>0</v>
      </c>
      <c r="AE182" s="17">
        <f>COUNTIF('261027'!$C$18:$C$47,$C182)+COUNTIF('261027'!$I$18:$I$47,$C182)</f>
        <v>0</v>
      </c>
      <c r="AF182" s="17">
        <f>COUNTIF('261028'!$C$18:$C$47,$C182)+COUNTIF('261028'!$I$18:$I$47,$C182)</f>
        <v>0</v>
      </c>
      <c r="AG182" s="17">
        <f>COUNTIF('261029'!$C$18:$C$47,$C182)+COUNTIF('261029'!$I$18:$I$47,$C182)</f>
        <v>0</v>
      </c>
      <c r="AH182" s="17">
        <f>COUNTIF('261030'!$C$18:$C$47,$C182)+COUNTIF('261030'!$I$18:$I$47,$C182)</f>
        <v>0</v>
      </c>
      <c r="AI182" s="17">
        <f>COUNTIF('261031'!$C$18:$C$47,$C182)+COUNTIF('261031'!$I$18:$I$47,$C182)</f>
        <v>0</v>
      </c>
      <c r="AJ182" s="52">
        <f t="shared" si="8"/>
        <v>0</v>
      </c>
    </row>
    <row r="183" spans="2:39" ht="20.100000000000001" customHeight="1" x14ac:dyDescent="0.3">
      <c r="B183" s="36">
        <f t="shared" si="9"/>
        <v>179</v>
      </c>
      <c r="C183" s="19"/>
      <c r="D183" s="19"/>
      <c r="E183" s="17">
        <f>COUNTIF('261001'!$C$18:$C$47,$C183)+COUNTIF('261001'!$I$18:$I$47,$C183)</f>
        <v>0</v>
      </c>
      <c r="F183" s="17">
        <f>COUNTIF('261002'!$C$18:$C$47,$C183)+COUNTIF('261002'!$I$18:$I$47,$C183)</f>
        <v>0</v>
      </c>
      <c r="G183" s="17">
        <f>COUNTIF('261003'!$C$18:$C$47,$C183)+COUNTIF('261003'!$I$18:$I$47,$C183)</f>
        <v>0</v>
      </c>
      <c r="H183" s="17">
        <f>COUNTIF('261004'!$C$18:$C$47,$C183)+COUNTIF('261004'!$I$18:$I$47,$C183)</f>
        <v>0</v>
      </c>
      <c r="I183" s="17">
        <f>COUNTIF('261005'!$C$18:$C$47,$C183)+COUNTIF('261005'!$I$18:$I$47,$C183)</f>
        <v>0</v>
      </c>
      <c r="J183" s="17">
        <f>COUNTIF('261006'!$C$18:$C$47,$C183)+COUNTIF('261006'!$I$18:$I$47,$C183)</f>
        <v>0</v>
      </c>
      <c r="K183" s="17">
        <f>COUNTIF('261007'!$C$18:$C$47,$C183)+COUNTIF('261007'!$I$18:$I$47,$C183)</f>
        <v>0</v>
      </c>
      <c r="L183" s="17">
        <f>COUNTIF('261008'!$C$18:$C$47,$C183)+COUNTIF('261008'!$I$18:$I$47,$C183)</f>
        <v>0</v>
      </c>
      <c r="M183" s="17">
        <f>COUNTIF('261009'!$C$18:$C$47,$C183)+COUNTIF('261009'!$I$18:$I$47,$C183)</f>
        <v>0</v>
      </c>
      <c r="N183" s="17">
        <f>COUNTIF('261010'!$C$18:$C$47,$C183)+COUNTIF('261010'!$I$18:$I$47,$C183)</f>
        <v>0</v>
      </c>
      <c r="O183" s="17">
        <f>COUNTIF('261011'!$C$18:$C$47,$C183)+COUNTIF('261011'!$I$18:$I$47,$C183)</f>
        <v>0</v>
      </c>
      <c r="P183" s="17">
        <f>COUNTIF('261012'!$C$18:$C$47,$C183)+COUNTIF('261012'!$I$18:$I$47,$C183)</f>
        <v>0</v>
      </c>
      <c r="Q183" s="17">
        <f>COUNTIF('261013'!$C$18:$C$47,$C183)+COUNTIF('261013'!$I$18:$I$47,$C183)</f>
        <v>0</v>
      </c>
      <c r="R183" s="17">
        <f>COUNTIF('261014'!$C$18:$C$47,$C183)+COUNTIF('261014'!$I$18:$I$47,$C183)</f>
        <v>0</v>
      </c>
      <c r="S183" s="17">
        <f>COUNTIF('261015'!$C$18:$C$47,$C183)+COUNTIF('261015'!$I$18:$I$47,$C183)</f>
        <v>0</v>
      </c>
      <c r="T183" s="17">
        <f>COUNTIF('261016'!$C$18:$C$47,$C183)+COUNTIF('261016'!$I$18:$I$47,$C183)</f>
        <v>0</v>
      </c>
      <c r="U183" s="17">
        <f>COUNTIF('261017'!$C$18:$C$47,$C183)+COUNTIF('261017'!$I$18:$I$47,$C183)</f>
        <v>0</v>
      </c>
      <c r="V183" s="17">
        <f>COUNTIF('261018'!$C$18:$C$47,$C183)+COUNTIF('261018'!$I$18:$I$47,$C183)</f>
        <v>0</v>
      </c>
      <c r="W183" s="17">
        <f>COUNTIF('261019'!$C$18:$C$47,$C183)+COUNTIF('261019'!$I$18:$I$47,$C183)</f>
        <v>0</v>
      </c>
      <c r="X183" s="17">
        <f>COUNTIF('261020'!$C$18:$C$47,$C183)+COUNTIF('261020'!$I$18:$I$47,$C183)</f>
        <v>0</v>
      </c>
      <c r="Y183" s="17">
        <f>COUNTIF('261021'!$C$18:$C$47,$C183)+COUNTIF('261021'!$I$18:$I$47,$C183)</f>
        <v>0</v>
      </c>
      <c r="Z183" s="17">
        <f>COUNTIF('261022'!$C$18:$C$47,$C183)+COUNTIF('261022'!$I$18:$I$47,$C183)</f>
        <v>0</v>
      </c>
      <c r="AA183" s="17">
        <f>COUNTIF('261023'!$C$18:$C$47,$C183)+COUNTIF('261023'!$I$18:$I$47,$C183)</f>
        <v>0</v>
      </c>
      <c r="AB183" s="17">
        <f>COUNTIF('261024'!$C$18:$C$47,$C183)+COUNTIF('261024'!$I$18:$I$47,$C183)</f>
        <v>0</v>
      </c>
      <c r="AC183" s="17">
        <f>COUNTIF('261025'!$C$18:$C$47,$C183)+COUNTIF('261025'!$I$18:$I$47,$C183)</f>
        <v>0</v>
      </c>
      <c r="AD183" s="17">
        <f>COUNTIF('261026'!$C$18:$C$47,$C183)+COUNTIF('261026'!$I$18:$I$47,$C183)</f>
        <v>0</v>
      </c>
      <c r="AE183" s="17">
        <f>COUNTIF('261027'!$C$18:$C$47,$C183)+COUNTIF('261027'!$I$18:$I$47,$C183)</f>
        <v>0</v>
      </c>
      <c r="AF183" s="17">
        <f>COUNTIF('261028'!$C$18:$C$47,$C183)+COUNTIF('261028'!$I$18:$I$47,$C183)</f>
        <v>0</v>
      </c>
      <c r="AG183" s="17">
        <f>COUNTIF('261029'!$C$18:$C$47,$C183)+COUNTIF('261029'!$I$18:$I$47,$C183)</f>
        <v>0</v>
      </c>
      <c r="AH183" s="17">
        <f>COUNTIF('261030'!$C$18:$C$47,$C183)+COUNTIF('261030'!$I$18:$I$47,$C183)</f>
        <v>0</v>
      </c>
      <c r="AI183" s="17">
        <f>COUNTIF('261031'!$C$18:$C$47,$C183)+COUNTIF('261031'!$I$18:$I$47,$C183)</f>
        <v>0</v>
      </c>
      <c r="AJ183" s="52">
        <f t="shared" si="8"/>
        <v>0</v>
      </c>
    </row>
    <row r="184" spans="2:39" ht="20.100000000000001" customHeight="1" x14ac:dyDescent="0.3">
      <c r="B184" s="36">
        <f t="shared" si="9"/>
        <v>180</v>
      </c>
      <c r="C184" s="19"/>
      <c r="D184" s="19"/>
      <c r="E184" s="17">
        <f>COUNTIF('261001'!$C$18:$C$47,$C184)+COUNTIF('261001'!$I$18:$I$47,$C184)</f>
        <v>0</v>
      </c>
      <c r="F184" s="17">
        <f>COUNTIF('261002'!$C$18:$C$47,$C184)+COUNTIF('261002'!$I$18:$I$47,$C184)</f>
        <v>0</v>
      </c>
      <c r="G184" s="17">
        <f>COUNTIF('261003'!$C$18:$C$47,$C184)+COUNTIF('261003'!$I$18:$I$47,$C184)</f>
        <v>0</v>
      </c>
      <c r="H184" s="17">
        <f>COUNTIF('261004'!$C$18:$C$47,$C184)+COUNTIF('261004'!$I$18:$I$47,$C184)</f>
        <v>0</v>
      </c>
      <c r="I184" s="17">
        <f>COUNTIF('261005'!$C$18:$C$47,$C184)+COUNTIF('261005'!$I$18:$I$47,$C184)</f>
        <v>0</v>
      </c>
      <c r="J184" s="17">
        <f>COUNTIF('261006'!$C$18:$C$47,$C184)+COUNTIF('261006'!$I$18:$I$47,$C184)</f>
        <v>0</v>
      </c>
      <c r="K184" s="17">
        <f>COUNTIF('261007'!$C$18:$C$47,$C184)+COUNTIF('261007'!$I$18:$I$47,$C184)</f>
        <v>0</v>
      </c>
      <c r="L184" s="17">
        <f>COUNTIF('261008'!$C$18:$C$47,$C184)+COUNTIF('261008'!$I$18:$I$47,$C184)</f>
        <v>0</v>
      </c>
      <c r="M184" s="17">
        <f>COUNTIF('261009'!$C$18:$C$47,$C184)+COUNTIF('261009'!$I$18:$I$47,$C184)</f>
        <v>0</v>
      </c>
      <c r="N184" s="17">
        <f>COUNTIF('261010'!$C$18:$C$47,$C184)+COUNTIF('261010'!$I$18:$I$47,$C184)</f>
        <v>0</v>
      </c>
      <c r="O184" s="17">
        <f>COUNTIF('261011'!$C$18:$C$47,$C184)+COUNTIF('261011'!$I$18:$I$47,$C184)</f>
        <v>0</v>
      </c>
      <c r="P184" s="17">
        <f>COUNTIF('261012'!$C$18:$C$47,$C184)+COUNTIF('261012'!$I$18:$I$47,$C184)</f>
        <v>0</v>
      </c>
      <c r="Q184" s="17">
        <f>COUNTIF('261013'!$C$18:$C$47,$C184)+COUNTIF('261013'!$I$18:$I$47,$C184)</f>
        <v>0</v>
      </c>
      <c r="R184" s="17">
        <f>COUNTIF('261014'!$C$18:$C$47,$C184)+COUNTIF('261014'!$I$18:$I$47,$C184)</f>
        <v>0</v>
      </c>
      <c r="S184" s="17">
        <f>COUNTIF('261015'!$C$18:$C$47,$C184)+COUNTIF('261015'!$I$18:$I$47,$C184)</f>
        <v>0</v>
      </c>
      <c r="T184" s="17">
        <f>COUNTIF('261016'!$C$18:$C$47,$C184)+COUNTIF('261016'!$I$18:$I$47,$C184)</f>
        <v>0</v>
      </c>
      <c r="U184" s="17">
        <f>COUNTIF('261017'!$C$18:$C$47,$C184)+COUNTIF('261017'!$I$18:$I$47,$C184)</f>
        <v>0</v>
      </c>
      <c r="V184" s="17">
        <f>COUNTIF('261018'!$C$18:$C$47,$C184)+COUNTIF('261018'!$I$18:$I$47,$C184)</f>
        <v>0</v>
      </c>
      <c r="W184" s="17">
        <f>COUNTIF('261019'!$C$18:$C$47,$C184)+COUNTIF('261019'!$I$18:$I$47,$C184)</f>
        <v>0</v>
      </c>
      <c r="X184" s="17">
        <f>COUNTIF('261020'!$C$18:$C$47,$C184)+COUNTIF('261020'!$I$18:$I$47,$C184)</f>
        <v>0</v>
      </c>
      <c r="Y184" s="17">
        <f>COUNTIF('261021'!$C$18:$C$47,$C184)+COUNTIF('261021'!$I$18:$I$47,$C184)</f>
        <v>0</v>
      </c>
      <c r="Z184" s="17">
        <f>COUNTIF('261022'!$C$18:$C$47,$C184)+COUNTIF('261022'!$I$18:$I$47,$C184)</f>
        <v>0</v>
      </c>
      <c r="AA184" s="17">
        <f>COUNTIF('261023'!$C$18:$C$47,$C184)+COUNTIF('261023'!$I$18:$I$47,$C184)</f>
        <v>0</v>
      </c>
      <c r="AB184" s="17">
        <f>COUNTIF('261024'!$C$18:$C$47,$C184)+COUNTIF('261024'!$I$18:$I$47,$C184)</f>
        <v>0</v>
      </c>
      <c r="AC184" s="17">
        <f>COUNTIF('261025'!$C$18:$C$47,$C184)+COUNTIF('261025'!$I$18:$I$47,$C184)</f>
        <v>0</v>
      </c>
      <c r="AD184" s="17">
        <f>COUNTIF('261026'!$C$18:$C$47,$C184)+COUNTIF('261026'!$I$18:$I$47,$C184)</f>
        <v>0</v>
      </c>
      <c r="AE184" s="17">
        <f>COUNTIF('261027'!$C$18:$C$47,$C184)+COUNTIF('261027'!$I$18:$I$47,$C184)</f>
        <v>0</v>
      </c>
      <c r="AF184" s="17">
        <f>COUNTIF('261028'!$C$18:$C$47,$C184)+COUNTIF('261028'!$I$18:$I$47,$C184)</f>
        <v>0</v>
      </c>
      <c r="AG184" s="17">
        <f>COUNTIF('261029'!$C$18:$C$47,$C184)+COUNTIF('261029'!$I$18:$I$47,$C184)</f>
        <v>0</v>
      </c>
      <c r="AH184" s="17">
        <f>COUNTIF('261030'!$C$18:$C$47,$C184)+COUNTIF('261030'!$I$18:$I$47,$C184)</f>
        <v>0</v>
      </c>
      <c r="AI184" s="17">
        <f>COUNTIF('261031'!$C$18:$C$47,$C184)+COUNTIF('261031'!$I$18:$I$47,$C184)</f>
        <v>0</v>
      </c>
      <c r="AJ184" s="52">
        <f t="shared" si="8"/>
        <v>0</v>
      </c>
      <c r="AL184" s="16"/>
      <c r="AM184" s="16"/>
    </row>
    <row r="185" spans="2:39" ht="20.100000000000001" customHeight="1" x14ac:dyDescent="0.3">
      <c r="B185" s="36">
        <f t="shared" si="9"/>
        <v>181</v>
      </c>
      <c r="C185" s="19"/>
      <c r="D185" s="19"/>
      <c r="E185" s="17">
        <f>COUNTIF('261001'!$C$18:$C$47,$C185)+COUNTIF('261001'!$I$18:$I$47,$C185)</f>
        <v>0</v>
      </c>
      <c r="F185" s="17">
        <f>COUNTIF('261002'!$C$18:$C$47,$C185)+COUNTIF('261002'!$I$18:$I$47,$C185)</f>
        <v>0</v>
      </c>
      <c r="G185" s="17">
        <f>COUNTIF('261003'!$C$18:$C$47,$C185)+COUNTIF('261003'!$I$18:$I$47,$C185)</f>
        <v>0</v>
      </c>
      <c r="H185" s="17">
        <f>COUNTIF('261004'!$C$18:$C$47,$C185)+COUNTIF('261004'!$I$18:$I$47,$C185)</f>
        <v>0</v>
      </c>
      <c r="I185" s="17">
        <f>COUNTIF('261005'!$C$18:$C$47,$C185)+COUNTIF('261005'!$I$18:$I$47,$C185)</f>
        <v>0</v>
      </c>
      <c r="J185" s="17">
        <f>COUNTIF('261006'!$C$18:$C$47,$C185)+COUNTIF('261006'!$I$18:$I$47,$C185)</f>
        <v>0</v>
      </c>
      <c r="K185" s="17">
        <f>COUNTIF('261007'!$C$18:$C$47,$C185)+COUNTIF('261007'!$I$18:$I$47,$C185)</f>
        <v>0</v>
      </c>
      <c r="L185" s="17">
        <f>COUNTIF('261008'!$C$18:$C$47,$C185)+COUNTIF('261008'!$I$18:$I$47,$C185)</f>
        <v>0</v>
      </c>
      <c r="M185" s="17">
        <f>COUNTIF('261009'!$C$18:$C$47,$C185)+COUNTIF('261009'!$I$18:$I$47,$C185)</f>
        <v>0</v>
      </c>
      <c r="N185" s="17">
        <f>COUNTIF('261010'!$C$18:$C$47,$C185)+COUNTIF('261010'!$I$18:$I$47,$C185)</f>
        <v>0</v>
      </c>
      <c r="O185" s="17">
        <f>COUNTIF('261011'!$C$18:$C$47,$C185)+COUNTIF('261011'!$I$18:$I$47,$C185)</f>
        <v>0</v>
      </c>
      <c r="P185" s="17">
        <f>COUNTIF('261012'!$C$18:$C$47,$C185)+COUNTIF('261012'!$I$18:$I$47,$C185)</f>
        <v>0</v>
      </c>
      <c r="Q185" s="17">
        <f>COUNTIF('261013'!$C$18:$C$47,$C185)+COUNTIF('261013'!$I$18:$I$47,$C185)</f>
        <v>0</v>
      </c>
      <c r="R185" s="17">
        <f>COUNTIF('261014'!$C$18:$C$47,$C185)+COUNTIF('261014'!$I$18:$I$47,$C185)</f>
        <v>0</v>
      </c>
      <c r="S185" s="17">
        <f>COUNTIF('261015'!$C$18:$C$47,$C185)+COUNTIF('261015'!$I$18:$I$47,$C185)</f>
        <v>0</v>
      </c>
      <c r="T185" s="17">
        <f>COUNTIF('261016'!$C$18:$C$47,$C185)+COUNTIF('261016'!$I$18:$I$47,$C185)</f>
        <v>0</v>
      </c>
      <c r="U185" s="17">
        <f>COUNTIF('261017'!$C$18:$C$47,$C185)+COUNTIF('261017'!$I$18:$I$47,$C185)</f>
        <v>0</v>
      </c>
      <c r="V185" s="17">
        <f>COUNTIF('261018'!$C$18:$C$47,$C185)+COUNTIF('261018'!$I$18:$I$47,$C185)</f>
        <v>0</v>
      </c>
      <c r="W185" s="17">
        <f>COUNTIF('261019'!$C$18:$C$47,$C185)+COUNTIF('261019'!$I$18:$I$47,$C185)</f>
        <v>0</v>
      </c>
      <c r="X185" s="17">
        <f>COUNTIF('261020'!$C$18:$C$47,$C185)+COUNTIF('261020'!$I$18:$I$47,$C185)</f>
        <v>0</v>
      </c>
      <c r="Y185" s="17">
        <f>COUNTIF('261021'!$C$18:$C$47,$C185)+COUNTIF('261021'!$I$18:$I$47,$C185)</f>
        <v>0</v>
      </c>
      <c r="Z185" s="17">
        <f>COUNTIF('261022'!$C$18:$C$47,$C185)+COUNTIF('261022'!$I$18:$I$47,$C185)</f>
        <v>0</v>
      </c>
      <c r="AA185" s="17">
        <f>COUNTIF('261023'!$C$18:$C$47,$C185)+COUNTIF('261023'!$I$18:$I$47,$C185)</f>
        <v>0</v>
      </c>
      <c r="AB185" s="17">
        <f>COUNTIF('261024'!$C$18:$C$47,$C185)+COUNTIF('261024'!$I$18:$I$47,$C185)</f>
        <v>0</v>
      </c>
      <c r="AC185" s="17">
        <f>COUNTIF('261025'!$C$18:$C$47,$C185)+COUNTIF('261025'!$I$18:$I$47,$C185)</f>
        <v>0</v>
      </c>
      <c r="AD185" s="17">
        <f>COUNTIF('261026'!$C$18:$C$47,$C185)+COUNTIF('261026'!$I$18:$I$47,$C185)</f>
        <v>0</v>
      </c>
      <c r="AE185" s="17">
        <f>COUNTIF('261027'!$C$18:$C$47,$C185)+COUNTIF('261027'!$I$18:$I$47,$C185)</f>
        <v>0</v>
      </c>
      <c r="AF185" s="17">
        <f>COUNTIF('261028'!$C$18:$C$47,$C185)+COUNTIF('261028'!$I$18:$I$47,$C185)</f>
        <v>0</v>
      </c>
      <c r="AG185" s="17">
        <f>COUNTIF('261029'!$C$18:$C$47,$C185)+COUNTIF('261029'!$I$18:$I$47,$C185)</f>
        <v>0</v>
      </c>
      <c r="AH185" s="17">
        <f>COUNTIF('261030'!$C$18:$C$47,$C185)+COUNTIF('261030'!$I$18:$I$47,$C185)</f>
        <v>0</v>
      </c>
      <c r="AI185" s="17">
        <f>COUNTIF('261031'!$C$18:$C$47,$C185)+COUNTIF('261031'!$I$18:$I$47,$C185)</f>
        <v>0</v>
      </c>
      <c r="AJ185" s="52">
        <f t="shared" si="8"/>
        <v>0</v>
      </c>
      <c r="AL185" s="16"/>
      <c r="AM185" s="16"/>
    </row>
    <row r="186" spans="2:39" ht="20.100000000000001" customHeight="1" x14ac:dyDescent="0.3">
      <c r="B186" s="36">
        <f t="shared" si="9"/>
        <v>182</v>
      </c>
      <c r="C186" s="19"/>
      <c r="D186" s="19"/>
      <c r="E186" s="17">
        <f>COUNTIF('261001'!$C$18:$C$47,$C186)+COUNTIF('261001'!$I$18:$I$47,$C186)</f>
        <v>0</v>
      </c>
      <c r="F186" s="17">
        <f>COUNTIF('261002'!$C$18:$C$47,$C186)+COUNTIF('261002'!$I$18:$I$47,$C186)</f>
        <v>0</v>
      </c>
      <c r="G186" s="17">
        <f>COUNTIF('261003'!$C$18:$C$47,$C186)+COUNTIF('261003'!$I$18:$I$47,$C186)</f>
        <v>0</v>
      </c>
      <c r="H186" s="17">
        <f>COUNTIF('261004'!$C$18:$C$47,$C186)+COUNTIF('261004'!$I$18:$I$47,$C186)</f>
        <v>0</v>
      </c>
      <c r="I186" s="17">
        <f>COUNTIF('261005'!$C$18:$C$47,$C186)+COUNTIF('261005'!$I$18:$I$47,$C186)</f>
        <v>0</v>
      </c>
      <c r="J186" s="17">
        <f>COUNTIF('261006'!$C$18:$C$47,$C186)+COUNTIF('261006'!$I$18:$I$47,$C186)</f>
        <v>0</v>
      </c>
      <c r="K186" s="17">
        <f>COUNTIF('261007'!$C$18:$C$47,$C186)+COUNTIF('261007'!$I$18:$I$47,$C186)</f>
        <v>0</v>
      </c>
      <c r="L186" s="17">
        <f>COUNTIF('261008'!$C$18:$C$47,$C186)+COUNTIF('261008'!$I$18:$I$47,$C186)</f>
        <v>0</v>
      </c>
      <c r="M186" s="17">
        <f>COUNTIF('261009'!$C$18:$C$47,$C186)+COUNTIF('261009'!$I$18:$I$47,$C186)</f>
        <v>0</v>
      </c>
      <c r="N186" s="17">
        <f>COUNTIF('261010'!$C$18:$C$47,$C186)+COUNTIF('261010'!$I$18:$I$47,$C186)</f>
        <v>0</v>
      </c>
      <c r="O186" s="17">
        <f>COUNTIF('261011'!$C$18:$C$47,$C186)+COUNTIF('261011'!$I$18:$I$47,$C186)</f>
        <v>0</v>
      </c>
      <c r="P186" s="17">
        <f>COUNTIF('261012'!$C$18:$C$47,$C186)+COUNTIF('261012'!$I$18:$I$47,$C186)</f>
        <v>0</v>
      </c>
      <c r="Q186" s="17">
        <f>COUNTIF('261013'!$C$18:$C$47,$C186)+COUNTIF('261013'!$I$18:$I$47,$C186)</f>
        <v>0</v>
      </c>
      <c r="R186" s="17">
        <f>COUNTIF('261014'!$C$18:$C$47,$C186)+COUNTIF('261014'!$I$18:$I$47,$C186)</f>
        <v>0</v>
      </c>
      <c r="S186" s="17">
        <f>COUNTIF('261015'!$C$18:$C$47,$C186)+COUNTIF('261015'!$I$18:$I$47,$C186)</f>
        <v>0</v>
      </c>
      <c r="T186" s="17">
        <f>COUNTIF('261016'!$C$18:$C$47,$C186)+COUNTIF('261016'!$I$18:$I$47,$C186)</f>
        <v>0</v>
      </c>
      <c r="U186" s="17">
        <f>COUNTIF('261017'!$C$18:$C$47,$C186)+COUNTIF('261017'!$I$18:$I$47,$C186)</f>
        <v>0</v>
      </c>
      <c r="V186" s="17">
        <f>COUNTIF('261018'!$C$18:$C$47,$C186)+COUNTIF('261018'!$I$18:$I$47,$C186)</f>
        <v>0</v>
      </c>
      <c r="W186" s="17">
        <f>COUNTIF('261019'!$C$18:$C$47,$C186)+COUNTIF('261019'!$I$18:$I$47,$C186)</f>
        <v>0</v>
      </c>
      <c r="X186" s="17">
        <f>COUNTIF('261020'!$C$18:$C$47,$C186)+COUNTIF('261020'!$I$18:$I$47,$C186)</f>
        <v>0</v>
      </c>
      <c r="Y186" s="17">
        <f>COUNTIF('261021'!$C$18:$C$47,$C186)+COUNTIF('261021'!$I$18:$I$47,$C186)</f>
        <v>0</v>
      </c>
      <c r="Z186" s="17">
        <f>COUNTIF('261022'!$C$18:$C$47,$C186)+COUNTIF('261022'!$I$18:$I$47,$C186)</f>
        <v>0</v>
      </c>
      <c r="AA186" s="17">
        <f>COUNTIF('261023'!$C$18:$C$47,$C186)+COUNTIF('261023'!$I$18:$I$47,$C186)</f>
        <v>0</v>
      </c>
      <c r="AB186" s="17">
        <f>COUNTIF('261024'!$C$18:$C$47,$C186)+COUNTIF('261024'!$I$18:$I$47,$C186)</f>
        <v>0</v>
      </c>
      <c r="AC186" s="17">
        <f>COUNTIF('261025'!$C$18:$C$47,$C186)+COUNTIF('261025'!$I$18:$I$47,$C186)</f>
        <v>0</v>
      </c>
      <c r="AD186" s="17">
        <f>COUNTIF('261026'!$C$18:$C$47,$C186)+COUNTIF('261026'!$I$18:$I$47,$C186)</f>
        <v>0</v>
      </c>
      <c r="AE186" s="17">
        <f>COUNTIF('261027'!$C$18:$C$47,$C186)+COUNTIF('261027'!$I$18:$I$47,$C186)</f>
        <v>0</v>
      </c>
      <c r="AF186" s="17">
        <f>COUNTIF('261028'!$C$18:$C$47,$C186)+COUNTIF('261028'!$I$18:$I$47,$C186)</f>
        <v>0</v>
      </c>
      <c r="AG186" s="17">
        <f>COUNTIF('261029'!$C$18:$C$47,$C186)+COUNTIF('261029'!$I$18:$I$47,$C186)</f>
        <v>0</v>
      </c>
      <c r="AH186" s="17">
        <f>COUNTIF('261030'!$C$18:$C$47,$C186)+COUNTIF('261030'!$I$18:$I$47,$C186)</f>
        <v>0</v>
      </c>
      <c r="AI186" s="17">
        <f>COUNTIF('261031'!$C$18:$C$47,$C186)+COUNTIF('261031'!$I$18:$I$47,$C186)</f>
        <v>0</v>
      </c>
      <c r="AJ186" s="52">
        <f t="shared" si="8"/>
        <v>0</v>
      </c>
    </row>
    <row r="187" spans="2:39" ht="20.100000000000001" customHeight="1" x14ac:dyDescent="0.3">
      <c r="B187" s="36">
        <f t="shared" si="9"/>
        <v>183</v>
      </c>
      <c r="C187" s="19"/>
      <c r="D187" s="19"/>
      <c r="E187" s="17">
        <f>COUNTIF('261001'!$C$18:$C$47,$C187)+COUNTIF('261001'!$I$18:$I$47,$C187)</f>
        <v>0</v>
      </c>
      <c r="F187" s="17">
        <f>COUNTIF('261002'!$C$18:$C$47,$C187)+COUNTIF('261002'!$I$18:$I$47,$C187)</f>
        <v>0</v>
      </c>
      <c r="G187" s="17">
        <f>COUNTIF('261003'!$C$18:$C$47,$C187)+COUNTIF('261003'!$I$18:$I$47,$C187)</f>
        <v>0</v>
      </c>
      <c r="H187" s="17">
        <f>COUNTIF('261004'!$C$18:$C$47,$C187)+COUNTIF('261004'!$I$18:$I$47,$C187)</f>
        <v>0</v>
      </c>
      <c r="I187" s="17">
        <f>COUNTIF('261005'!$C$18:$C$47,$C187)+COUNTIF('261005'!$I$18:$I$47,$C187)</f>
        <v>0</v>
      </c>
      <c r="J187" s="17">
        <f>COUNTIF('261006'!$C$18:$C$47,$C187)+COUNTIF('261006'!$I$18:$I$47,$C187)</f>
        <v>0</v>
      </c>
      <c r="K187" s="17">
        <f>COUNTIF('261007'!$C$18:$C$47,$C187)+COUNTIF('261007'!$I$18:$I$47,$C187)</f>
        <v>0</v>
      </c>
      <c r="L187" s="17">
        <f>COUNTIF('261008'!$C$18:$C$47,$C187)+COUNTIF('261008'!$I$18:$I$47,$C187)</f>
        <v>0</v>
      </c>
      <c r="M187" s="17">
        <f>COUNTIF('261009'!$C$18:$C$47,$C187)+COUNTIF('261009'!$I$18:$I$47,$C187)</f>
        <v>0</v>
      </c>
      <c r="N187" s="17">
        <f>COUNTIF('261010'!$C$18:$C$47,$C187)+COUNTIF('261010'!$I$18:$I$47,$C187)</f>
        <v>0</v>
      </c>
      <c r="O187" s="17">
        <f>COUNTIF('261011'!$C$18:$C$47,$C187)+COUNTIF('261011'!$I$18:$I$47,$C187)</f>
        <v>0</v>
      </c>
      <c r="P187" s="17">
        <f>COUNTIF('261012'!$C$18:$C$47,$C187)+COUNTIF('261012'!$I$18:$I$47,$C187)</f>
        <v>0</v>
      </c>
      <c r="Q187" s="17">
        <f>COUNTIF('261013'!$C$18:$C$47,$C187)+COUNTIF('261013'!$I$18:$I$47,$C187)</f>
        <v>0</v>
      </c>
      <c r="R187" s="17">
        <f>COUNTIF('261014'!$C$18:$C$47,$C187)+COUNTIF('261014'!$I$18:$I$47,$C187)</f>
        <v>0</v>
      </c>
      <c r="S187" s="17">
        <f>COUNTIF('261015'!$C$18:$C$47,$C187)+COUNTIF('261015'!$I$18:$I$47,$C187)</f>
        <v>0</v>
      </c>
      <c r="T187" s="17">
        <f>COUNTIF('261016'!$C$18:$C$47,$C187)+COUNTIF('261016'!$I$18:$I$47,$C187)</f>
        <v>0</v>
      </c>
      <c r="U187" s="17">
        <f>COUNTIF('261017'!$C$18:$C$47,$C187)+COUNTIF('261017'!$I$18:$I$47,$C187)</f>
        <v>0</v>
      </c>
      <c r="V187" s="17">
        <f>COUNTIF('261018'!$C$18:$C$47,$C187)+COUNTIF('261018'!$I$18:$I$47,$C187)</f>
        <v>0</v>
      </c>
      <c r="W187" s="17">
        <f>COUNTIF('261019'!$C$18:$C$47,$C187)+COUNTIF('261019'!$I$18:$I$47,$C187)</f>
        <v>0</v>
      </c>
      <c r="X187" s="17">
        <f>COUNTIF('261020'!$C$18:$C$47,$C187)+COUNTIF('261020'!$I$18:$I$47,$C187)</f>
        <v>0</v>
      </c>
      <c r="Y187" s="17">
        <f>COUNTIF('261021'!$C$18:$C$47,$C187)+COUNTIF('261021'!$I$18:$I$47,$C187)</f>
        <v>0</v>
      </c>
      <c r="Z187" s="17">
        <f>COUNTIF('261022'!$C$18:$C$47,$C187)+COUNTIF('261022'!$I$18:$I$47,$C187)</f>
        <v>0</v>
      </c>
      <c r="AA187" s="17">
        <f>COUNTIF('261023'!$C$18:$C$47,$C187)+COUNTIF('261023'!$I$18:$I$47,$C187)</f>
        <v>0</v>
      </c>
      <c r="AB187" s="17">
        <f>COUNTIF('261024'!$C$18:$C$47,$C187)+COUNTIF('261024'!$I$18:$I$47,$C187)</f>
        <v>0</v>
      </c>
      <c r="AC187" s="17">
        <f>COUNTIF('261025'!$C$18:$C$47,$C187)+COUNTIF('261025'!$I$18:$I$47,$C187)</f>
        <v>0</v>
      </c>
      <c r="AD187" s="17">
        <f>COUNTIF('261026'!$C$18:$C$47,$C187)+COUNTIF('261026'!$I$18:$I$47,$C187)</f>
        <v>0</v>
      </c>
      <c r="AE187" s="17">
        <f>COUNTIF('261027'!$C$18:$C$47,$C187)+COUNTIF('261027'!$I$18:$I$47,$C187)</f>
        <v>0</v>
      </c>
      <c r="AF187" s="17">
        <f>COUNTIF('261028'!$C$18:$C$47,$C187)+COUNTIF('261028'!$I$18:$I$47,$C187)</f>
        <v>0</v>
      </c>
      <c r="AG187" s="17">
        <f>COUNTIF('261029'!$C$18:$C$47,$C187)+COUNTIF('261029'!$I$18:$I$47,$C187)</f>
        <v>0</v>
      </c>
      <c r="AH187" s="17">
        <f>COUNTIF('261030'!$C$18:$C$47,$C187)+COUNTIF('261030'!$I$18:$I$47,$C187)</f>
        <v>0</v>
      </c>
      <c r="AI187" s="17">
        <f>COUNTIF('261031'!$C$18:$C$47,$C187)+COUNTIF('261031'!$I$18:$I$47,$C187)</f>
        <v>0</v>
      </c>
      <c r="AJ187" s="52">
        <f t="shared" si="8"/>
        <v>0</v>
      </c>
    </row>
    <row r="188" spans="2:39" ht="20.100000000000001" customHeight="1" x14ac:dyDescent="0.3">
      <c r="B188" s="36">
        <f t="shared" si="9"/>
        <v>184</v>
      </c>
      <c r="C188" s="19"/>
      <c r="D188" s="19"/>
      <c r="E188" s="17">
        <f>COUNTIF('261001'!$C$18:$C$47,$C188)+COUNTIF('261001'!$I$18:$I$47,$C188)</f>
        <v>0</v>
      </c>
      <c r="F188" s="17">
        <f>COUNTIF('261002'!$C$18:$C$47,$C188)+COUNTIF('261002'!$I$18:$I$47,$C188)</f>
        <v>0</v>
      </c>
      <c r="G188" s="17">
        <f>COUNTIF('261003'!$C$18:$C$47,$C188)+COUNTIF('261003'!$I$18:$I$47,$C188)</f>
        <v>0</v>
      </c>
      <c r="H188" s="17">
        <f>COUNTIF('261004'!$C$18:$C$47,$C188)+COUNTIF('261004'!$I$18:$I$47,$C188)</f>
        <v>0</v>
      </c>
      <c r="I188" s="17">
        <f>COUNTIF('261005'!$C$18:$C$47,$C188)+COUNTIF('261005'!$I$18:$I$47,$C188)</f>
        <v>0</v>
      </c>
      <c r="J188" s="17">
        <f>COUNTIF('261006'!$C$18:$C$47,$C188)+COUNTIF('261006'!$I$18:$I$47,$C188)</f>
        <v>0</v>
      </c>
      <c r="K188" s="17">
        <f>COUNTIF('261007'!$C$18:$C$47,$C188)+COUNTIF('261007'!$I$18:$I$47,$C188)</f>
        <v>0</v>
      </c>
      <c r="L188" s="17">
        <f>COUNTIF('261008'!$C$18:$C$47,$C188)+COUNTIF('261008'!$I$18:$I$47,$C188)</f>
        <v>0</v>
      </c>
      <c r="M188" s="17">
        <f>COUNTIF('261009'!$C$18:$C$47,$C188)+COUNTIF('261009'!$I$18:$I$47,$C188)</f>
        <v>0</v>
      </c>
      <c r="N188" s="17">
        <f>COUNTIF('261010'!$C$18:$C$47,$C188)+COUNTIF('261010'!$I$18:$I$47,$C188)</f>
        <v>0</v>
      </c>
      <c r="O188" s="17">
        <f>COUNTIF('261011'!$C$18:$C$47,$C188)+COUNTIF('261011'!$I$18:$I$47,$C188)</f>
        <v>0</v>
      </c>
      <c r="P188" s="17">
        <f>COUNTIF('261012'!$C$18:$C$47,$C188)+COUNTIF('261012'!$I$18:$I$47,$C188)</f>
        <v>0</v>
      </c>
      <c r="Q188" s="17">
        <f>COUNTIF('261013'!$C$18:$C$47,$C188)+COUNTIF('261013'!$I$18:$I$47,$C188)</f>
        <v>0</v>
      </c>
      <c r="R188" s="17">
        <f>COUNTIF('261014'!$C$18:$C$47,$C188)+COUNTIF('261014'!$I$18:$I$47,$C188)</f>
        <v>0</v>
      </c>
      <c r="S188" s="17">
        <f>COUNTIF('261015'!$C$18:$C$47,$C188)+COUNTIF('261015'!$I$18:$I$47,$C188)</f>
        <v>0</v>
      </c>
      <c r="T188" s="17">
        <f>COUNTIF('261016'!$C$18:$C$47,$C188)+COUNTIF('261016'!$I$18:$I$47,$C188)</f>
        <v>0</v>
      </c>
      <c r="U188" s="17">
        <f>COUNTIF('261017'!$C$18:$C$47,$C188)+COUNTIF('261017'!$I$18:$I$47,$C188)</f>
        <v>0</v>
      </c>
      <c r="V188" s="17">
        <f>COUNTIF('261018'!$C$18:$C$47,$C188)+COUNTIF('261018'!$I$18:$I$47,$C188)</f>
        <v>0</v>
      </c>
      <c r="W188" s="17">
        <f>COUNTIF('261019'!$C$18:$C$47,$C188)+COUNTIF('261019'!$I$18:$I$47,$C188)</f>
        <v>0</v>
      </c>
      <c r="X188" s="17">
        <f>COUNTIF('261020'!$C$18:$C$47,$C188)+COUNTIF('261020'!$I$18:$I$47,$C188)</f>
        <v>0</v>
      </c>
      <c r="Y188" s="17">
        <f>COUNTIF('261021'!$C$18:$C$47,$C188)+COUNTIF('261021'!$I$18:$I$47,$C188)</f>
        <v>0</v>
      </c>
      <c r="Z188" s="17">
        <f>COUNTIF('261022'!$C$18:$C$47,$C188)+COUNTIF('261022'!$I$18:$I$47,$C188)</f>
        <v>0</v>
      </c>
      <c r="AA188" s="17">
        <f>COUNTIF('261023'!$C$18:$C$47,$C188)+COUNTIF('261023'!$I$18:$I$47,$C188)</f>
        <v>0</v>
      </c>
      <c r="AB188" s="17">
        <f>COUNTIF('261024'!$C$18:$C$47,$C188)+COUNTIF('261024'!$I$18:$I$47,$C188)</f>
        <v>0</v>
      </c>
      <c r="AC188" s="17">
        <f>COUNTIF('261025'!$C$18:$C$47,$C188)+COUNTIF('261025'!$I$18:$I$47,$C188)</f>
        <v>0</v>
      </c>
      <c r="AD188" s="17">
        <f>COUNTIF('261026'!$C$18:$C$47,$C188)+COUNTIF('261026'!$I$18:$I$47,$C188)</f>
        <v>0</v>
      </c>
      <c r="AE188" s="17">
        <f>COUNTIF('261027'!$C$18:$C$47,$C188)+COUNTIF('261027'!$I$18:$I$47,$C188)</f>
        <v>0</v>
      </c>
      <c r="AF188" s="17">
        <f>COUNTIF('261028'!$C$18:$C$47,$C188)+COUNTIF('261028'!$I$18:$I$47,$C188)</f>
        <v>0</v>
      </c>
      <c r="AG188" s="17">
        <f>COUNTIF('261029'!$C$18:$C$47,$C188)+COUNTIF('261029'!$I$18:$I$47,$C188)</f>
        <v>0</v>
      </c>
      <c r="AH188" s="17">
        <f>COUNTIF('261030'!$C$18:$C$47,$C188)+COUNTIF('261030'!$I$18:$I$47,$C188)</f>
        <v>0</v>
      </c>
      <c r="AI188" s="17">
        <f>COUNTIF('261031'!$C$18:$C$47,$C188)+COUNTIF('261031'!$I$18:$I$47,$C188)</f>
        <v>0</v>
      </c>
      <c r="AJ188" s="52">
        <f t="shared" si="8"/>
        <v>0</v>
      </c>
    </row>
    <row r="189" spans="2:39" ht="20.100000000000001" customHeight="1" x14ac:dyDescent="0.3">
      <c r="B189" s="36">
        <f t="shared" si="9"/>
        <v>185</v>
      </c>
      <c r="C189" s="19"/>
      <c r="D189" s="19"/>
      <c r="E189" s="17">
        <f>COUNTIF('261001'!$C$18:$C$47,$C189)+COUNTIF('261001'!$I$18:$I$47,$C189)</f>
        <v>0</v>
      </c>
      <c r="F189" s="17">
        <f>COUNTIF('261002'!$C$18:$C$47,$C189)+COUNTIF('261002'!$I$18:$I$47,$C189)</f>
        <v>0</v>
      </c>
      <c r="G189" s="17">
        <f>COUNTIF('261003'!$C$18:$C$47,$C189)+COUNTIF('261003'!$I$18:$I$47,$C189)</f>
        <v>0</v>
      </c>
      <c r="H189" s="17">
        <f>COUNTIF('261004'!$C$18:$C$47,$C189)+COUNTIF('261004'!$I$18:$I$47,$C189)</f>
        <v>0</v>
      </c>
      <c r="I189" s="17">
        <f>COUNTIF('261005'!$C$18:$C$47,$C189)+COUNTIF('261005'!$I$18:$I$47,$C189)</f>
        <v>0</v>
      </c>
      <c r="J189" s="17">
        <f>COUNTIF('261006'!$C$18:$C$47,$C189)+COUNTIF('261006'!$I$18:$I$47,$C189)</f>
        <v>0</v>
      </c>
      <c r="K189" s="17">
        <f>COUNTIF('261007'!$C$18:$C$47,$C189)+COUNTIF('261007'!$I$18:$I$47,$C189)</f>
        <v>0</v>
      </c>
      <c r="L189" s="17">
        <f>COUNTIF('261008'!$C$18:$C$47,$C189)+COUNTIF('261008'!$I$18:$I$47,$C189)</f>
        <v>0</v>
      </c>
      <c r="M189" s="17">
        <f>COUNTIF('261009'!$C$18:$C$47,$C189)+COUNTIF('261009'!$I$18:$I$47,$C189)</f>
        <v>0</v>
      </c>
      <c r="N189" s="17">
        <f>COUNTIF('261010'!$C$18:$C$47,$C189)+COUNTIF('261010'!$I$18:$I$47,$C189)</f>
        <v>0</v>
      </c>
      <c r="O189" s="17">
        <f>COUNTIF('261011'!$C$18:$C$47,$C189)+COUNTIF('261011'!$I$18:$I$47,$C189)</f>
        <v>0</v>
      </c>
      <c r="P189" s="17">
        <f>COUNTIF('261012'!$C$18:$C$47,$C189)+COUNTIF('261012'!$I$18:$I$47,$C189)</f>
        <v>0</v>
      </c>
      <c r="Q189" s="17">
        <f>COUNTIF('261013'!$C$18:$C$47,$C189)+COUNTIF('261013'!$I$18:$I$47,$C189)</f>
        <v>0</v>
      </c>
      <c r="R189" s="17">
        <f>COUNTIF('261014'!$C$18:$C$47,$C189)+COUNTIF('261014'!$I$18:$I$47,$C189)</f>
        <v>0</v>
      </c>
      <c r="S189" s="17">
        <f>COUNTIF('261015'!$C$18:$C$47,$C189)+COUNTIF('261015'!$I$18:$I$47,$C189)</f>
        <v>0</v>
      </c>
      <c r="T189" s="17">
        <f>COUNTIF('261016'!$C$18:$C$47,$C189)+COUNTIF('261016'!$I$18:$I$47,$C189)</f>
        <v>0</v>
      </c>
      <c r="U189" s="17">
        <f>COUNTIF('261017'!$C$18:$C$47,$C189)+COUNTIF('261017'!$I$18:$I$47,$C189)</f>
        <v>0</v>
      </c>
      <c r="V189" s="17">
        <f>COUNTIF('261018'!$C$18:$C$47,$C189)+COUNTIF('261018'!$I$18:$I$47,$C189)</f>
        <v>0</v>
      </c>
      <c r="W189" s="17">
        <f>COUNTIF('261019'!$C$18:$C$47,$C189)+COUNTIF('261019'!$I$18:$I$47,$C189)</f>
        <v>0</v>
      </c>
      <c r="X189" s="17">
        <f>COUNTIF('261020'!$C$18:$C$47,$C189)+COUNTIF('261020'!$I$18:$I$47,$C189)</f>
        <v>0</v>
      </c>
      <c r="Y189" s="17">
        <f>COUNTIF('261021'!$C$18:$C$47,$C189)+COUNTIF('261021'!$I$18:$I$47,$C189)</f>
        <v>0</v>
      </c>
      <c r="Z189" s="17">
        <f>COUNTIF('261022'!$C$18:$C$47,$C189)+COUNTIF('261022'!$I$18:$I$47,$C189)</f>
        <v>0</v>
      </c>
      <c r="AA189" s="17">
        <f>COUNTIF('261023'!$C$18:$C$47,$C189)+COUNTIF('261023'!$I$18:$I$47,$C189)</f>
        <v>0</v>
      </c>
      <c r="AB189" s="17">
        <f>COUNTIF('261024'!$C$18:$C$47,$C189)+COUNTIF('261024'!$I$18:$I$47,$C189)</f>
        <v>0</v>
      </c>
      <c r="AC189" s="17">
        <f>COUNTIF('261025'!$C$18:$C$47,$C189)+COUNTIF('261025'!$I$18:$I$47,$C189)</f>
        <v>0</v>
      </c>
      <c r="AD189" s="17">
        <f>COUNTIF('261026'!$C$18:$C$47,$C189)+COUNTIF('261026'!$I$18:$I$47,$C189)</f>
        <v>0</v>
      </c>
      <c r="AE189" s="17">
        <f>COUNTIF('261027'!$C$18:$C$47,$C189)+COUNTIF('261027'!$I$18:$I$47,$C189)</f>
        <v>0</v>
      </c>
      <c r="AF189" s="17">
        <f>COUNTIF('261028'!$C$18:$C$47,$C189)+COUNTIF('261028'!$I$18:$I$47,$C189)</f>
        <v>0</v>
      </c>
      <c r="AG189" s="17">
        <f>COUNTIF('261029'!$C$18:$C$47,$C189)+COUNTIF('261029'!$I$18:$I$47,$C189)</f>
        <v>0</v>
      </c>
      <c r="AH189" s="17">
        <f>COUNTIF('261030'!$C$18:$C$47,$C189)+COUNTIF('261030'!$I$18:$I$47,$C189)</f>
        <v>0</v>
      </c>
      <c r="AI189" s="17">
        <f>COUNTIF('261031'!$C$18:$C$47,$C189)+COUNTIF('261031'!$I$18:$I$47,$C189)</f>
        <v>0</v>
      </c>
      <c r="AJ189" s="52">
        <f t="shared" si="8"/>
        <v>0</v>
      </c>
    </row>
    <row r="190" spans="2:39" ht="20.100000000000001" customHeight="1" x14ac:dyDescent="0.3">
      <c r="B190" s="36">
        <f t="shared" si="9"/>
        <v>186</v>
      </c>
      <c r="C190" s="19"/>
      <c r="D190" s="19"/>
      <c r="E190" s="17">
        <f>COUNTIF('261001'!$C$18:$C$47,$C190)+COUNTIF('261001'!$I$18:$I$47,$C190)</f>
        <v>0</v>
      </c>
      <c r="F190" s="17">
        <f>COUNTIF('261002'!$C$18:$C$47,$C190)+COUNTIF('261002'!$I$18:$I$47,$C190)</f>
        <v>0</v>
      </c>
      <c r="G190" s="17">
        <f>COUNTIF('261003'!$C$18:$C$47,$C190)+COUNTIF('261003'!$I$18:$I$47,$C190)</f>
        <v>0</v>
      </c>
      <c r="H190" s="17">
        <f>COUNTIF('261004'!$C$18:$C$47,$C190)+COUNTIF('261004'!$I$18:$I$47,$C190)</f>
        <v>0</v>
      </c>
      <c r="I190" s="17">
        <f>COUNTIF('261005'!$C$18:$C$47,$C190)+COUNTIF('261005'!$I$18:$I$47,$C190)</f>
        <v>0</v>
      </c>
      <c r="J190" s="17">
        <f>COUNTIF('261006'!$C$18:$C$47,$C190)+COUNTIF('261006'!$I$18:$I$47,$C190)</f>
        <v>0</v>
      </c>
      <c r="K190" s="17">
        <f>COUNTIF('261007'!$C$18:$C$47,$C190)+COUNTIF('261007'!$I$18:$I$47,$C190)</f>
        <v>0</v>
      </c>
      <c r="L190" s="17">
        <f>COUNTIF('261008'!$C$18:$C$47,$C190)+COUNTIF('261008'!$I$18:$I$47,$C190)</f>
        <v>0</v>
      </c>
      <c r="M190" s="17">
        <f>COUNTIF('261009'!$C$18:$C$47,$C190)+COUNTIF('261009'!$I$18:$I$47,$C190)</f>
        <v>0</v>
      </c>
      <c r="N190" s="17">
        <f>COUNTIF('261010'!$C$18:$C$47,$C190)+COUNTIF('261010'!$I$18:$I$47,$C190)</f>
        <v>0</v>
      </c>
      <c r="O190" s="17">
        <f>COUNTIF('261011'!$C$18:$C$47,$C190)+COUNTIF('261011'!$I$18:$I$47,$C190)</f>
        <v>0</v>
      </c>
      <c r="P190" s="17">
        <f>COUNTIF('261012'!$C$18:$C$47,$C190)+COUNTIF('261012'!$I$18:$I$47,$C190)</f>
        <v>0</v>
      </c>
      <c r="Q190" s="17">
        <f>COUNTIF('261013'!$C$18:$C$47,$C190)+COUNTIF('261013'!$I$18:$I$47,$C190)</f>
        <v>0</v>
      </c>
      <c r="R190" s="17">
        <f>COUNTIF('261014'!$C$18:$C$47,$C190)+COUNTIF('261014'!$I$18:$I$47,$C190)</f>
        <v>0</v>
      </c>
      <c r="S190" s="17">
        <f>COUNTIF('261015'!$C$18:$C$47,$C190)+COUNTIF('261015'!$I$18:$I$47,$C190)</f>
        <v>0</v>
      </c>
      <c r="T190" s="17">
        <f>COUNTIF('261016'!$C$18:$C$47,$C190)+COUNTIF('261016'!$I$18:$I$47,$C190)</f>
        <v>0</v>
      </c>
      <c r="U190" s="17">
        <f>COUNTIF('261017'!$C$18:$C$47,$C190)+COUNTIF('261017'!$I$18:$I$47,$C190)</f>
        <v>0</v>
      </c>
      <c r="V190" s="17">
        <f>COUNTIF('261018'!$C$18:$C$47,$C190)+COUNTIF('261018'!$I$18:$I$47,$C190)</f>
        <v>0</v>
      </c>
      <c r="W190" s="17">
        <f>COUNTIF('261019'!$C$18:$C$47,$C190)+COUNTIF('261019'!$I$18:$I$47,$C190)</f>
        <v>0</v>
      </c>
      <c r="X190" s="17">
        <f>COUNTIF('261020'!$C$18:$C$47,$C190)+COUNTIF('261020'!$I$18:$I$47,$C190)</f>
        <v>0</v>
      </c>
      <c r="Y190" s="17">
        <f>COUNTIF('261021'!$C$18:$C$47,$C190)+COUNTIF('261021'!$I$18:$I$47,$C190)</f>
        <v>0</v>
      </c>
      <c r="Z190" s="17">
        <f>COUNTIF('261022'!$C$18:$C$47,$C190)+COUNTIF('261022'!$I$18:$I$47,$C190)</f>
        <v>0</v>
      </c>
      <c r="AA190" s="17">
        <f>COUNTIF('261023'!$C$18:$C$47,$C190)+COUNTIF('261023'!$I$18:$I$47,$C190)</f>
        <v>0</v>
      </c>
      <c r="AB190" s="17">
        <f>COUNTIF('261024'!$C$18:$C$47,$C190)+COUNTIF('261024'!$I$18:$I$47,$C190)</f>
        <v>0</v>
      </c>
      <c r="AC190" s="17">
        <f>COUNTIF('261025'!$C$18:$C$47,$C190)+COUNTIF('261025'!$I$18:$I$47,$C190)</f>
        <v>0</v>
      </c>
      <c r="AD190" s="17">
        <f>COUNTIF('261026'!$C$18:$C$47,$C190)+COUNTIF('261026'!$I$18:$I$47,$C190)</f>
        <v>0</v>
      </c>
      <c r="AE190" s="17">
        <f>COUNTIF('261027'!$C$18:$C$47,$C190)+COUNTIF('261027'!$I$18:$I$47,$C190)</f>
        <v>0</v>
      </c>
      <c r="AF190" s="17">
        <f>COUNTIF('261028'!$C$18:$C$47,$C190)+COUNTIF('261028'!$I$18:$I$47,$C190)</f>
        <v>0</v>
      </c>
      <c r="AG190" s="17">
        <f>COUNTIF('261029'!$C$18:$C$47,$C190)+COUNTIF('261029'!$I$18:$I$47,$C190)</f>
        <v>0</v>
      </c>
      <c r="AH190" s="17">
        <f>COUNTIF('261030'!$C$18:$C$47,$C190)+COUNTIF('261030'!$I$18:$I$47,$C190)</f>
        <v>0</v>
      </c>
      <c r="AI190" s="17">
        <f>COUNTIF('261031'!$C$18:$C$47,$C190)+COUNTIF('261031'!$I$18:$I$47,$C190)</f>
        <v>0</v>
      </c>
      <c r="AJ190" s="52">
        <f t="shared" si="8"/>
        <v>0</v>
      </c>
    </row>
    <row r="191" spans="2:39" ht="20.100000000000001" customHeight="1" x14ac:dyDescent="0.3">
      <c r="B191" s="36">
        <f t="shared" si="9"/>
        <v>187</v>
      </c>
      <c r="C191" s="19"/>
      <c r="D191" s="19"/>
      <c r="E191" s="17">
        <f>COUNTIF('261001'!$C$18:$C$47,$C191)+COUNTIF('261001'!$I$18:$I$47,$C191)</f>
        <v>0</v>
      </c>
      <c r="F191" s="17">
        <f>COUNTIF('261002'!$C$18:$C$47,$C191)+COUNTIF('261002'!$I$18:$I$47,$C191)</f>
        <v>0</v>
      </c>
      <c r="G191" s="17">
        <f>COUNTIF('261003'!$C$18:$C$47,$C191)+COUNTIF('261003'!$I$18:$I$47,$C191)</f>
        <v>0</v>
      </c>
      <c r="H191" s="17">
        <f>COUNTIF('261004'!$C$18:$C$47,$C191)+COUNTIF('261004'!$I$18:$I$47,$C191)</f>
        <v>0</v>
      </c>
      <c r="I191" s="17">
        <f>COUNTIF('261005'!$C$18:$C$47,$C191)+COUNTIF('261005'!$I$18:$I$47,$C191)</f>
        <v>0</v>
      </c>
      <c r="J191" s="17">
        <f>COUNTIF('261006'!$C$18:$C$47,$C191)+COUNTIF('261006'!$I$18:$I$47,$C191)</f>
        <v>0</v>
      </c>
      <c r="K191" s="17">
        <f>COUNTIF('261007'!$C$18:$C$47,$C191)+COUNTIF('261007'!$I$18:$I$47,$C191)</f>
        <v>0</v>
      </c>
      <c r="L191" s="17">
        <f>COUNTIF('261008'!$C$18:$C$47,$C191)+COUNTIF('261008'!$I$18:$I$47,$C191)</f>
        <v>0</v>
      </c>
      <c r="M191" s="17">
        <f>COUNTIF('261009'!$C$18:$C$47,$C191)+COUNTIF('261009'!$I$18:$I$47,$C191)</f>
        <v>0</v>
      </c>
      <c r="N191" s="17">
        <f>COUNTIF('261010'!$C$18:$C$47,$C191)+COUNTIF('261010'!$I$18:$I$47,$C191)</f>
        <v>0</v>
      </c>
      <c r="O191" s="17">
        <f>COUNTIF('261011'!$C$18:$C$47,$C191)+COUNTIF('261011'!$I$18:$I$47,$C191)</f>
        <v>0</v>
      </c>
      <c r="P191" s="17">
        <f>COUNTIF('261012'!$C$18:$C$47,$C191)+COUNTIF('261012'!$I$18:$I$47,$C191)</f>
        <v>0</v>
      </c>
      <c r="Q191" s="17">
        <f>COUNTIF('261013'!$C$18:$C$47,$C191)+COUNTIF('261013'!$I$18:$I$47,$C191)</f>
        <v>0</v>
      </c>
      <c r="R191" s="17">
        <f>COUNTIF('261014'!$C$18:$C$47,$C191)+COUNTIF('261014'!$I$18:$I$47,$C191)</f>
        <v>0</v>
      </c>
      <c r="S191" s="17">
        <f>COUNTIF('261015'!$C$18:$C$47,$C191)+COUNTIF('261015'!$I$18:$I$47,$C191)</f>
        <v>0</v>
      </c>
      <c r="T191" s="17">
        <f>COUNTIF('261016'!$C$18:$C$47,$C191)+COUNTIF('261016'!$I$18:$I$47,$C191)</f>
        <v>0</v>
      </c>
      <c r="U191" s="17">
        <f>COUNTIF('261017'!$C$18:$C$47,$C191)+COUNTIF('261017'!$I$18:$I$47,$C191)</f>
        <v>0</v>
      </c>
      <c r="V191" s="17">
        <f>COUNTIF('261018'!$C$18:$C$47,$C191)+COUNTIF('261018'!$I$18:$I$47,$C191)</f>
        <v>0</v>
      </c>
      <c r="W191" s="17">
        <f>COUNTIF('261019'!$C$18:$C$47,$C191)+COUNTIF('261019'!$I$18:$I$47,$C191)</f>
        <v>0</v>
      </c>
      <c r="X191" s="17">
        <f>COUNTIF('261020'!$C$18:$C$47,$C191)+COUNTIF('261020'!$I$18:$I$47,$C191)</f>
        <v>0</v>
      </c>
      <c r="Y191" s="17">
        <f>COUNTIF('261021'!$C$18:$C$47,$C191)+COUNTIF('261021'!$I$18:$I$47,$C191)</f>
        <v>0</v>
      </c>
      <c r="Z191" s="17">
        <f>COUNTIF('261022'!$C$18:$C$47,$C191)+COUNTIF('261022'!$I$18:$I$47,$C191)</f>
        <v>0</v>
      </c>
      <c r="AA191" s="17">
        <f>COUNTIF('261023'!$C$18:$C$47,$C191)+COUNTIF('261023'!$I$18:$I$47,$C191)</f>
        <v>0</v>
      </c>
      <c r="AB191" s="17">
        <f>COUNTIF('261024'!$C$18:$C$47,$C191)+COUNTIF('261024'!$I$18:$I$47,$C191)</f>
        <v>0</v>
      </c>
      <c r="AC191" s="17">
        <f>COUNTIF('261025'!$C$18:$C$47,$C191)+COUNTIF('261025'!$I$18:$I$47,$C191)</f>
        <v>0</v>
      </c>
      <c r="AD191" s="17">
        <f>COUNTIF('261026'!$C$18:$C$47,$C191)+COUNTIF('261026'!$I$18:$I$47,$C191)</f>
        <v>0</v>
      </c>
      <c r="AE191" s="17">
        <f>COUNTIF('261027'!$C$18:$C$47,$C191)+COUNTIF('261027'!$I$18:$I$47,$C191)</f>
        <v>0</v>
      </c>
      <c r="AF191" s="17">
        <f>COUNTIF('261028'!$C$18:$C$47,$C191)+COUNTIF('261028'!$I$18:$I$47,$C191)</f>
        <v>0</v>
      </c>
      <c r="AG191" s="17">
        <f>COUNTIF('261029'!$C$18:$C$47,$C191)+COUNTIF('261029'!$I$18:$I$47,$C191)</f>
        <v>0</v>
      </c>
      <c r="AH191" s="17">
        <f>COUNTIF('261030'!$C$18:$C$47,$C191)+COUNTIF('261030'!$I$18:$I$47,$C191)</f>
        <v>0</v>
      </c>
      <c r="AI191" s="17">
        <f>COUNTIF('261031'!$C$18:$C$47,$C191)+COUNTIF('261031'!$I$18:$I$47,$C191)</f>
        <v>0</v>
      </c>
      <c r="AJ191" s="52">
        <f t="shared" si="8"/>
        <v>0</v>
      </c>
    </row>
    <row r="192" spans="2:39" ht="20.100000000000001" customHeight="1" x14ac:dyDescent="0.3">
      <c r="B192" s="36">
        <f t="shared" si="9"/>
        <v>188</v>
      </c>
      <c r="C192" s="19"/>
      <c r="D192" s="19"/>
      <c r="E192" s="17">
        <f>COUNTIF('261001'!$C$18:$C$47,$C192)+COUNTIF('261001'!$I$18:$I$47,$C192)</f>
        <v>0</v>
      </c>
      <c r="F192" s="17">
        <f>COUNTIF('261002'!$C$18:$C$47,$C192)+COUNTIF('261002'!$I$18:$I$47,$C192)</f>
        <v>0</v>
      </c>
      <c r="G192" s="17">
        <f>COUNTIF('261003'!$C$18:$C$47,$C192)+COUNTIF('261003'!$I$18:$I$47,$C192)</f>
        <v>0</v>
      </c>
      <c r="H192" s="17">
        <f>COUNTIF('261004'!$C$18:$C$47,$C192)+COUNTIF('261004'!$I$18:$I$47,$C192)</f>
        <v>0</v>
      </c>
      <c r="I192" s="17">
        <f>COUNTIF('261005'!$C$18:$C$47,$C192)+COUNTIF('261005'!$I$18:$I$47,$C192)</f>
        <v>0</v>
      </c>
      <c r="J192" s="17">
        <f>COUNTIF('261006'!$C$18:$C$47,$C192)+COUNTIF('261006'!$I$18:$I$47,$C192)</f>
        <v>0</v>
      </c>
      <c r="K192" s="17">
        <f>COUNTIF('261007'!$C$18:$C$47,$C192)+COUNTIF('261007'!$I$18:$I$47,$C192)</f>
        <v>0</v>
      </c>
      <c r="L192" s="17">
        <f>COUNTIF('261008'!$C$18:$C$47,$C192)+COUNTIF('261008'!$I$18:$I$47,$C192)</f>
        <v>0</v>
      </c>
      <c r="M192" s="17">
        <f>COUNTIF('261009'!$C$18:$C$47,$C192)+COUNTIF('261009'!$I$18:$I$47,$C192)</f>
        <v>0</v>
      </c>
      <c r="N192" s="17">
        <f>COUNTIF('261010'!$C$18:$C$47,$C192)+COUNTIF('261010'!$I$18:$I$47,$C192)</f>
        <v>0</v>
      </c>
      <c r="O192" s="17">
        <f>COUNTIF('261011'!$C$18:$C$47,$C192)+COUNTIF('261011'!$I$18:$I$47,$C192)</f>
        <v>0</v>
      </c>
      <c r="P192" s="17">
        <f>COUNTIF('261012'!$C$18:$C$47,$C192)+COUNTIF('261012'!$I$18:$I$47,$C192)</f>
        <v>0</v>
      </c>
      <c r="Q192" s="17">
        <f>COUNTIF('261013'!$C$18:$C$47,$C192)+COUNTIF('261013'!$I$18:$I$47,$C192)</f>
        <v>0</v>
      </c>
      <c r="R192" s="17">
        <f>COUNTIF('261014'!$C$18:$C$47,$C192)+COUNTIF('261014'!$I$18:$I$47,$C192)</f>
        <v>0</v>
      </c>
      <c r="S192" s="17">
        <f>COUNTIF('261015'!$C$18:$C$47,$C192)+COUNTIF('261015'!$I$18:$I$47,$C192)</f>
        <v>0</v>
      </c>
      <c r="T192" s="17">
        <f>COUNTIF('261016'!$C$18:$C$47,$C192)+COUNTIF('261016'!$I$18:$I$47,$C192)</f>
        <v>0</v>
      </c>
      <c r="U192" s="17">
        <f>COUNTIF('261017'!$C$18:$C$47,$C192)+COUNTIF('261017'!$I$18:$I$47,$C192)</f>
        <v>0</v>
      </c>
      <c r="V192" s="17">
        <f>COUNTIF('261018'!$C$18:$C$47,$C192)+COUNTIF('261018'!$I$18:$I$47,$C192)</f>
        <v>0</v>
      </c>
      <c r="W192" s="17">
        <f>COUNTIF('261019'!$C$18:$C$47,$C192)+COUNTIF('261019'!$I$18:$I$47,$C192)</f>
        <v>0</v>
      </c>
      <c r="X192" s="17">
        <f>COUNTIF('261020'!$C$18:$C$47,$C192)+COUNTIF('261020'!$I$18:$I$47,$C192)</f>
        <v>0</v>
      </c>
      <c r="Y192" s="17">
        <f>COUNTIF('261021'!$C$18:$C$47,$C192)+COUNTIF('261021'!$I$18:$I$47,$C192)</f>
        <v>0</v>
      </c>
      <c r="Z192" s="17">
        <f>COUNTIF('261022'!$C$18:$C$47,$C192)+COUNTIF('261022'!$I$18:$I$47,$C192)</f>
        <v>0</v>
      </c>
      <c r="AA192" s="17">
        <f>COUNTIF('261023'!$C$18:$C$47,$C192)+COUNTIF('261023'!$I$18:$I$47,$C192)</f>
        <v>0</v>
      </c>
      <c r="AB192" s="17">
        <f>COUNTIF('261024'!$C$18:$C$47,$C192)+COUNTIF('261024'!$I$18:$I$47,$C192)</f>
        <v>0</v>
      </c>
      <c r="AC192" s="17">
        <f>COUNTIF('261025'!$C$18:$C$47,$C192)+COUNTIF('261025'!$I$18:$I$47,$C192)</f>
        <v>0</v>
      </c>
      <c r="AD192" s="17">
        <f>COUNTIF('261026'!$C$18:$C$47,$C192)+COUNTIF('261026'!$I$18:$I$47,$C192)</f>
        <v>0</v>
      </c>
      <c r="AE192" s="17">
        <f>COUNTIF('261027'!$C$18:$C$47,$C192)+COUNTIF('261027'!$I$18:$I$47,$C192)</f>
        <v>0</v>
      </c>
      <c r="AF192" s="17">
        <f>COUNTIF('261028'!$C$18:$C$47,$C192)+COUNTIF('261028'!$I$18:$I$47,$C192)</f>
        <v>0</v>
      </c>
      <c r="AG192" s="17">
        <f>COUNTIF('261029'!$C$18:$C$47,$C192)+COUNTIF('261029'!$I$18:$I$47,$C192)</f>
        <v>0</v>
      </c>
      <c r="AH192" s="17">
        <f>COUNTIF('261030'!$C$18:$C$47,$C192)+COUNTIF('261030'!$I$18:$I$47,$C192)</f>
        <v>0</v>
      </c>
      <c r="AI192" s="17">
        <f>COUNTIF('261031'!$C$18:$C$47,$C192)+COUNTIF('261031'!$I$18:$I$47,$C192)</f>
        <v>0</v>
      </c>
      <c r="AJ192" s="52">
        <f t="shared" si="8"/>
        <v>0</v>
      </c>
    </row>
    <row r="193" spans="2:36" ht="20.100000000000001" customHeight="1" x14ac:dyDescent="0.3">
      <c r="B193" s="36">
        <f t="shared" si="9"/>
        <v>189</v>
      </c>
      <c r="C193" s="19"/>
      <c r="D193" s="19"/>
      <c r="E193" s="17">
        <f>COUNTIF('261001'!$C$18:$C$47,$C193)+COUNTIF('261001'!$I$18:$I$47,$C193)</f>
        <v>0</v>
      </c>
      <c r="F193" s="17">
        <f>COUNTIF('261002'!$C$18:$C$47,$C193)+COUNTIF('261002'!$I$18:$I$47,$C193)</f>
        <v>0</v>
      </c>
      <c r="G193" s="17">
        <f>COUNTIF('261003'!$C$18:$C$47,$C193)+COUNTIF('261003'!$I$18:$I$47,$C193)</f>
        <v>0</v>
      </c>
      <c r="H193" s="17">
        <f>COUNTIF('261004'!$C$18:$C$47,$C193)+COUNTIF('261004'!$I$18:$I$47,$C193)</f>
        <v>0</v>
      </c>
      <c r="I193" s="17">
        <f>COUNTIF('261005'!$C$18:$C$47,$C193)+COUNTIF('261005'!$I$18:$I$47,$C193)</f>
        <v>0</v>
      </c>
      <c r="J193" s="17">
        <f>COUNTIF('261006'!$C$18:$C$47,$C193)+COUNTIF('261006'!$I$18:$I$47,$C193)</f>
        <v>0</v>
      </c>
      <c r="K193" s="17">
        <f>COUNTIF('261007'!$C$18:$C$47,$C193)+COUNTIF('261007'!$I$18:$I$47,$C193)</f>
        <v>0</v>
      </c>
      <c r="L193" s="17">
        <f>COUNTIF('261008'!$C$18:$C$47,$C193)+COUNTIF('261008'!$I$18:$I$47,$C193)</f>
        <v>0</v>
      </c>
      <c r="M193" s="17">
        <f>COUNTIF('261009'!$C$18:$C$47,$C193)+COUNTIF('261009'!$I$18:$I$47,$C193)</f>
        <v>0</v>
      </c>
      <c r="N193" s="17">
        <f>COUNTIF('261010'!$C$18:$C$47,$C193)+COUNTIF('261010'!$I$18:$I$47,$C193)</f>
        <v>0</v>
      </c>
      <c r="O193" s="17">
        <f>COUNTIF('261011'!$C$18:$C$47,$C193)+COUNTIF('261011'!$I$18:$I$47,$C193)</f>
        <v>0</v>
      </c>
      <c r="P193" s="17">
        <f>COUNTIF('261012'!$C$18:$C$47,$C193)+COUNTIF('261012'!$I$18:$I$47,$C193)</f>
        <v>0</v>
      </c>
      <c r="Q193" s="17">
        <f>COUNTIF('261013'!$C$18:$C$47,$C193)+COUNTIF('261013'!$I$18:$I$47,$C193)</f>
        <v>0</v>
      </c>
      <c r="R193" s="17">
        <f>COUNTIF('261014'!$C$18:$C$47,$C193)+COUNTIF('261014'!$I$18:$I$47,$C193)</f>
        <v>0</v>
      </c>
      <c r="S193" s="17">
        <f>COUNTIF('261015'!$C$18:$C$47,$C193)+COUNTIF('261015'!$I$18:$I$47,$C193)</f>
        <v>0</v>
      </c>
      <c r="T193" s="17">
        <f>COUNTIF('261016'!$C$18:$C$47,$C193)+COUNTIF('261016'!$I$18:$I$47,$C193)</f>
        <v>0</v>
      </c>
      <c r="U193" s="17">
        <f>COUNTIF('261017'!$C$18:$C$47,$C193)+COUNTIF('261017'!$I$18:$I$47,$C193)</f>
        <v>0</v>
      </c>
      <c r="V193" s="17">
        <f>COUNTIF('261018'!$C$18:$C$47,$C193)+COUNTIF('261018'!$I$18:$I$47,$C193)</f>
        <v>0</v>
      </c>
      <c r="W193" s="17">
        <f>COUNTIF('261019'!$C$18:$C$47,$C193)+COUNTIF('261019'!$I$18:$I$47,$C193)</f>
        <v>0</v>
      </c>
      <c r="X193" s="17">
        <f>COUNTIF('261020'!$C$18:$C$47,$C193)+COUNTIF('261020'!$I$18:$I$47,$C193)</f>
        <v>0</v>
      </c>
      <c r="Y193" s="17">
        <f>COUNTIF('261021'!$C$18:$C$47,$C193)+COUNTIF('261021'!$I$18:$I$47,$C193)</f>
        <v>0</v>
      </c>
      <c r="Z193" s="17">
        <f>COUNTIF('261022'!$C$18:$C$47,$C193)+COUNTIF('261022'!$I$18:$I$47,$C193)</f>
        <v>0</v>
      </c>
      <c r="AA193" s="17">
        <f>COUNTIF('261023'!$C$18:$C$47,$C193)+COUNTIF('261023'!$I$18:$I$47,$C193)</f>
        <v>0</v>
      </c>
      <c r="AB193" s="17">
        <f>COUNTIF('261024'!$C$18:$C$47,$C193)+COUNTIF('261024'!$I$18:$I$47,$C193)</f>
        <v>0</v>
      </c>
      <c r="AC193" s="17">
        <f>COUNTIF('261025'!$C$18:$C$47,$C193)+COUNTIF('261025'!$I$18:$I$47,$C193)</f>
        <v>0</v>
      </c>
      <c r="AD193" s="17">
        <f>COUNTIF('261026'!$C$18:$C$47,$C193)+COUNTIF('261026'!$I$18:$I$47,$C193)</f>
        <v>0</v>
      </c>
      <c r="AE193" s="17">
        <f>COUNTIF('261027'!$C$18:$C$47,$C193)+COUNTIF('261027'!$I$18:$I$47,$C193)</f>
        <v>0</v>
      </c>
      <c r="AF193" s="17">
        <f>COUNTIF('261028'!$C$18:$C$47,$C193)+COUNTIF('261028'!$I$18:$I$47,$C193)</f>
        <v>0</v>
      </c>
      <c r="AG193" s="17">
        <f>COUNTIF('261029'!$C$18:$C$47,$C193)+COUNTIF('261029'!$I$18:$I$47,$C193)</f>
        <v>0</v>
      </c>
      <c r="AH193" s="17">
        <f>COUNTIF('261030'!$C$18:$C$47,$C193)+COUNTIF('261030'!$I$18:$I$47,$C193)</f>
        <v>0</v>
      </c>
      <c r="AI193" s="17">
        <f>COUNTIF('261031'!$C$18:$C$47,$C193)+COUNTIF('261031'!$I$18:$I$47,$C193)</f>
        <v>0</v>
      </c>
      <c r="AJ193" s="52">
        <f t="shared" si="8"/>
        <v>0</v>
      </c>
    </row>
    <row r="194" spans="2:36" ht="20.100000000000001" customHeight="1" x14ac:dyDescent="0.3">
      <c r="B194" s="36">
        <f t="shared" si="9"/>
        <v>190</v>
      </c>
      <c r="C194" s="19"/>
      <c r="D194" s="19"/>
      <c r="E194" s="17">
        <f>COUNTIF('261001'!$C$18:$C$47,$C194)+COUNTIF('261001'!$I$18:$I$47,$C194)</f>
        <v>0</v>
      </c>
      <c r="F194" s="17">
        <f>COUNTIF('261002'!$C$18:$C$47,$C194)+COUNTIF('261002'!$I$18:$I$47,$C194)</f>
        <v>0</v>
      </c>
      <c r="G194" s="17">
        <f>COUNTIF('261003'!$C$18:$C$47,$C194)+COUNTIF('261003'!$I$18:$I$47,$C194)</f>
        <v>0</v>
      </c>
      <c r="H194" s="17">
        <f>COUNTIF('261004'!$C$18:$C$47,$C194)+COUNTIF('261004'!$I$18:$I$47,$C194)</f>
        <v>0</v>
      </c>
      <c r="I194" s="17">
        <f>COUNTIF('261005'!$C$18:$C$47,$C194)+COUNTIF('261005'!$I$18:$I$47,$C194)</f>
        <v>0</v>
      </c>
      <c r="J194" s="17">
        <f>COUNTIF('261006'!$C$18:$C$47,$C194)+COUNTIF('261006'!$I$18:$I$47,$C194)</f>
        <v>0</v>
      </c>
      <c r="K194" s="17">
        <f>COUNTIF('261007'!$C$18:$C$47,$C194)+COUNTIF('261007'!$I$18:$I$47,$C194)</f>
        <v>0</v>
      </c>
      <c r="L194" s="17">
        <f>COUNTIF('261008'!$C$18:$C$47,$C194)+COUNTIF('261008'!$I$18:$I$47,$C194)</f>
        <v>0</v>
      </c>
      <c r="M194" s="17">
        <f>COUNTIF('261009'!$C$18:$C$47,$C194)+COUNTIF('261009'!$I$18:$I$47,$C194)</f>
        <v>0</v>
      </c>
      <c r="N194" s="17">
        <f>COUNTIF('261010'!$C$18:$C$47,$C194)+COUNTIF('261010'!$I$18:$I$47,$C194)</f>
        <v>0</v>
      </c>
      <c r="O194" s="17">
        <f>COUNTIF('261011'!$C$18:$C$47,$C194)+COUNTIF('261011'!$I$18:$I$47,$C194)</f>
        <v>0</v>
      </c>
      <c r="P194" s="17">
        <f>COUNTIF('261012'!$C$18:$C$47,$C194)+COUNTIF('261012'!$I$18:$I$47,$C194)</f>
        <v>0</v>
      </c>
      <c r="Q194" s="17">
        <f>COUNTIF('261013'!$C$18:$C$47,$C194)+COUNTIF('261013'!$I$18:$I$47,$C194)</f>
        <v>0</v>
      </c>
      <c r="R194" s="17">
        <f>COUNTIF('261014'!$C$18:$C$47,$C194)+COUNTIF('261014'!$I$18:$I$47,$C194)</f>
        <v>0</v>
      </c>
      <c r="S194" s="17">
        <f>COUNTIF('261015'!$C$18:$C$47,$C194)+COUNTIF('261015'!$I$18:$I$47,$C194)</f>
        <v>0</v>
      </c>
      <c r="T194" s="17">
        <f>COUNTIF('261016'!$C$18:$C$47,$C194)+COUNTIF('261016'!$I$18:$I$47,$C194)</f>
        <v>0</v>
      </c>
      <c r="U194" s="17">
        <f>COUNTIF('261017'!$C$18:$C$47,$C194)+COUNTIF('261017'!$I$18:$I$47,$C194)</f>
        <v>0</v>
      </c>
      <c r="V194" s="17">
        <f>COUNTIF('261018'!$C$18:$C$47,$C194)+COUNTIF('261018'!$I$18:$I$47,$C194)</f>
        <v>0</v>
      </c>
      <c r="W194" s="17">
        <f>COUNTIF('261019'!$C$18:$C$47,$C194)+COUNTIF('261019'!$I$18:$I$47,$C194)</f>
        <v>0</v>
      </c>
      <c r="X194" s="17">
        <f>COUNTIF('261020'!$C$18:$C$47,$C194)+COUNTIF('261020'!$I$18:$I$47,$C194)</f>
        <v>0</v>
      </c>
      <c r="Y194" s="17">
        <f>COUNTIF('261021'!$C$18:$C$47,$C194)+COUNTIF('261021'!$I$18:$I$47,$C194)</f>
        <v>0</v>
      </c>
      <c r="Z194" s="17">
        <f>COUNTIF('261022'!$C$18:$C$47,$C194)+COUNTIF('261022'!$I$18:$I$47,$C194)</f>
        <v>0</v>
      </c>
      <c r="AA194" s="17">
        <f>COUNTIF('261023'!$C$18:$C$47,$C194)+COUNTIF('261023'!$I$18:$I$47,$C194)</f>
        <v>0</v>
      </c>
      <c r="AB194" s="17">
        <f>COUNTIF('261024'!$C$18:$C$47,$C194)+COUNTIF('261024'!$I$18:$I$47,$C194)</f>
        <v>0</v>
      </c>
      <c r="AC194" s="17">
        <f>COUNTIF('261025'!$C$18:$C$47,$C194)+COUNTIF('261025'!$I$18:$I$47,$C194)</f>
        <v>0</v>
      </c>
      <c r="AD194" s="17">
        <f>COUNTIF('261026'!$C$18:$C$47,$C194)+COUNTIF('261026'!$I$18:$I$47,$C194)</f>
        <v>0</v>
      </c>
      <c r="AE194" s="17">
        <f>COUNTIF('261027'!$C$18:$C$47,$C194)+COUNTIF('261027'!$I$18:$I$47,$C194)</f>
        <v>0</v>
      </c>
      <c r="AF194" s="17">
        <f>COUNTIF('261028'!$C$18:$C$47,$C194)+COUNTIF('261028'!$I$18:$I$47,$C194)</f>
        <v>0</v>
      </c>
      <c r="AG194" s="17">
        <f>COUNTIF('261029'!$C$18:$C$47,$C194)+COUNTIF('261029'!$I$18:$I$47,$C194)</f>
        <v>0</v>
      </c>
      <c r="AH194" s="17">
        <f>COUNTIF('261030'!$C$18:$C$47,$C194)+COUNTIF('261030'!$I$18:$I$47,$C194)</f>
        <v>0</v>
      </c>
      <c r="AI194" s="17">
        <f>COUNTIF('261031'!$C$18:$C$47,$C194)+COUNTIF('261031'!$I$18:$I$47,$C194)</f>
        <v>0</v>
      </c>
      <c r="AJ194" s="52">
        <f t="shared" si="8"/>
        <v>0</v>
      </c>
    </row>
    <row r="195" spans="2:36" ht="20.100000000000001" customHeight="1" x14ac:dyDescent="0.3">
      <c r="B195" s="36">
        <f t="shared" si="9"/>
        <v>191</v>
      </c>
      <c r="C195" s="19"/>
      <c r="D195" s="19"/>
      <c r="E195" s="17">
        <f>COUNTIF('261001'!$C$18:$C$47,$C195)+COUNTIF('261001'!$I$18:$I$47,$C195)</f>
        <v>0</v>
      </c>
      <c r="F195" s="17">
        <f>COUNTIF('261002'!$C$18:$C$47,$C195)+COUNTIF('261002'!$I$18:$I$47,$C195)</f>
        <v>0</v>
      </c>
      <c r="G195" s="17">
        <f>COUNTIF('261003'!$C$18:$C$47,$C195)+COUNTIF('261003'!$I$18:$I$47,$C195)</f>
        <v>0</v>
      </c>
      <c r="H195" s="17">
        <f>COUNTIF('261004'!$C$18:$C$47,$C195)+COUNTIF('261004'!$I$18:$I$47,$C195)</f>
        <v>0</v>
      </c>
      <c r="I195" s="17">
        <f>COUNTIF('261005'!$C$18:$C$47,$C195)+COUNTIF('261005'!$I$18:$I$47,$C195)</f>
        <v>0</v>
      </c>
      <c r="J195" s="17">
        <f>COUNTIF('261006'!$C$18:$C$47,$C195)+COUNTIF('261006'!$I$18:$I$47,$C195)</f>
        <v>0</v>
      </c>
      <c r="K195" s="17">
        <f>COUNTIF('261007'!$C$18:$C$47,$C195)+COUNTIF('261007'!$I$18:$I$47,$C195)</f>
        <v>0</v>
      </c>
      <c r="L195" s="17">
        <f>COUNTIF('261008'!$C$18:$C$47,$C195)+COUNTIF('261008'!$I$18:$I$47,$C195)</f>
        <v>0</v>
      </c>
      <c r="M195" s="17">
        <f>COUNTIF('261009'!$C$18:$C$47,$C195)+COUNTIF('261009'!$I$18:$I$47,$C195)</f>
        <v>0</v>
      </c>
      <c r="N195" s="17">
        <f>COUNTIF('261010'!$C$18:$C$47,$C195)+COUNTIF('261010'!$I$18:$I$47,$C195)</f>
        <v>0</v>
      </c>
      <c r="O195" s="17">
        <f>COUNTIF('261011'!$C$18:$C$47,$C195)+COUNTIF('261011'!$I$18:$I$47,$C195)</f>
        <v>0</v>
      </c>
      <c r="P195" s="17">
        <f>COUNTIF('261012'!$C$18:$C$47,$C195)+COUNTIF('261012'!$I$18:$I$47,$C195)</f>
        <v>0</v>
      </c>
      <c r="Q195" s="17">
        <f>COUNTIF('261013'!$C$18:$C$47,$C195)+COUNTIF('261013'!$I$18:$I$47,$C195)</f>
        <v>0</v>
      </c>
      <c r="R195" s="17">
        <f>COUNTIF('261014'!$C$18:$C$47,$C195)+COUNTIF('261014'!$I$18:$I$47,$C195)</f>
        <v>0</v>
      </c>
      <c r="S195" s="17">
        <f>COUNTIF('261015'!$C$18:$C$47,$C195)+COUNTIF('261015'!$I$18:$I$47,$C195)</f>
        <v>0</v>
      </c>
      <c r="T195" s="17">
        <f>COUNTIF('261016'!$C$18:$C$47,$C195)+COUNTIF('261016'!$I$18:$I$47,$C195)</f>
        <v>0</v>
      </c>
      <c r="U195" s="17">
        <f>COUNTIF('261017'!$C$18:$C$47,$C195)+COUNTIF('261017'!$I$18:$I$47,$C195)</f>
        <v>0</v>
      </c>
      <c r="V195" s="17">
        <f>COUNTIF('261018'!$C$18:$C$47,$C195)+COUNTIF('261018'!$I$18:$I$47,$C195)</f>
        <v>0</v>
      </c>
      <c r="W195" s="17">
        <f>COUNTIF('261019'!$C$18:$C$47,$C195)+COUNTIF('261019'!$I$18:$I$47,$C195)</f>
        <v>0</v>
      </c>
      <c r="X195" s="17">
        <f>COUNTIF('261020'!$C$18:$C$47,$C195)+COUNTIF('261020'!$I$18:$I$47,$C195)</f>
        <v>0</v>
      </c>
      <c r="Y195" s="17">
        <f>COUNTIF('261021'!$C$18:$C$47,$C195)+COUNTIF('261021'!$I$18:$I$47,$C195)</f>
        <v>0</v>
      </c>
      <c r="Z195" s="17">
        <f>COUNTIF('261022'!$C$18:$C$47,$C195)+COUNTIF('261022'!$I$18:$I$47,$C195)</f>
        <v>0</v>
      </c>
      <c r="AA195" s="17">
        <f>COUNTIF('261023'!$C$18:$C$47,$C195)+COUNTIF('261023'!$I$18:$I$47,$C195)</f>
        <v>0</v>
      </c>
      <c r="AB195" s="17">
        <f>COUNTIF('261024'!$C$18:$C$47,$C195)+COUNTIF('261024'!$I$18:$I$47,$C195)</f>
        <v>0</v>
      </c>
      <c r="AC195" s="17">
        <f>COUNTIF('261025'!$C$18:$C$47,$C195)+COUNTIF('261025'!$I$18:$I$47,$C195)</f>
        <v>0</v>
      </c>
      <c r="AD195" s="17">
        <f>COUNTIF('261026'!$C$18:$C$47,$C195)+COUNTIF('261026'!$I$18:$I$47,$C195)</f>
        <v>0</v>
      </c>
      <c r="AE195" s="17">
        <f>COUNTIF('261027'!$C$18:$C$47,$C195)+COUNTIF('261027'!$I$18:$I$47,$C195)</f>
        <v>0</v>
      </c>
      <c r="AF195" s="17">
        <f>COUNTIF('261028'!$C$18:$C$47,$C195)+COUNTIF('261028'!$I$18:$I$47,$C195)</f>
        <v>0</v>
      </c>
      <c r="AG195" s="17">
        <f>COUNTIF('261029'!$C$18:$C$47,$C195)+COUNTIF('261029'!$I$18:$I$47,$C195)</f>
        <v>0</v>
      </c>
      <c r="AH195" s="17">
        <f>COUNTIF('261030'!$C$18:$C$47,$C195)+COUNTIF('261030'!$I$18:$I$47,$C195)</f>
        <v>0</v>
      </c>
      <c r="AI195" s="17">
        <f>COUNTIF('261031'!$C$18:$C$47,$C195)+COUNTIF('261031'!$I$18:$I$47,$C195)</f>
        <v>0</v>
      </c>
      <c r="AJ195" s="52">
        <f t="shared" si="8"/>
        <v>0</v>
      </c>
    </row>
    <row r="196" spans="2:36" ht="20.100000000000001" customHeight="1" x14ac:dyDescent="0.3">
      <c r="B196" s="36">
        <f t="shared" si="9"/>
        <v>192</v>
      </c>
      <c r="C196" s="19"/>
      <c r="D196" s="19"/>
      <c r="E196" s="17">
        <f>COUNTIF('261001'!$C$18:$C$47,$C196)+COUNTIF('261001'!$I$18:$I$47,$C196)</f>
        <v>0</v>
      </c>
      <c r="F196" s="17">
        <f>COUNTIF('261002'!$C$18:$C$47,$C196)+COUNTIF('261002'!$I$18:$I$47,$C196)</f>
        <v>0</v>
      </c>
      <c r="G196" s="17">
        <f>COUNTIF('261003'!$C$18:$C$47,$C196)+COUNTIF('261003'!$I$18:$I$47,$C196)</f>
        <v>0</v>
      </c>
      <c r="H196" s="17">
        <f>COUNTIF('261004'!$C$18:$C$47,$C196)+COUNTIF('261004'!$I$18:$I$47,$C196)</f>
        <v>0</v>
      </c>
      <c r="I196" s="17">
        <f>COUNTIF('261005'!$C$18:$C$47,$C196)+COUNTIF('261005'!$I$18:$I$47,$C196)</f>
        <v>0</v>
      </c>
      <c r="J196" s="17">
        <f>COUNTIF('261006'!$C$18:$C$47,$C196)+COUNTIF('261006'!$I$18:$I$47,$C196)</f>
        <v>0</v>
      </c>
      <c r="K196" s="17">
        <f>COUNTIF('261007'!$C$18:$C$47,$C196)+COUNTIF('261007'!$I$18:$I$47,$C196)</f>
        <v>0</v>
      </c>
      <c r="L196" s="17">
        <f>COUNTIF('261008'!$C$18:$C$47,$C196)+COUNTIF('261008'!$I$18:$I$47,$C196)</f>
        <v>0</v>
      </c>
      <c r="M196" s="17">
        <f>COUNTIF('261009'!$C$18:$C$47,$C196)+COUNTIF('261009'!$I$18:$I$47,$C196)</f>
        <v>0</v>
      </c>
      <c r="N196" s="17">
        <f>COUNTIF('261010'!$C$18:$C$47,$C196)+COUNTIF('261010'!$I$18:$I$47,$C196)</f>
        <v>0</v>
      </c>
      <c r="O196" s="17">
        <f>COUNTIF('261011'!$C$18:$C$47,$C196)+COUNTIF('261011'!$I$18:$I$47,$C196)</f>
        <v>0</v>
      </c>
      <c r="P196" s="17">
        <f>COUNTIF('261012'!$C$18:$C$47,$C196)+COUNTIF('261012'!$I$18:$I$47,$C196)</f>
        <v>0</v>
      </c>
      <c r="Q196" s="17">
        <f>COUNTIF('261013'!$C$18:$C$47,$C196)+COUNTIF('261013'!$I$18:$I$47,$C196)</f>
        <v>0</v>
      </c>
      <c r="R196" s="17">
        <f>COUNTIF('261014'!$C$18:$C$47,$C196)+COUNTIF('261014'!$I$18:$I$47,$C196)</f>
        <v>0</v>
      </c>
      <c r="S196" s="17">
        <f>COUNTIF('261015'!$C$18:$C$47,$C196)+COUNTIF('261015'!$I$18:$I$47,$C196)</f>
        <v>0</v>
      </c>
      <c r="T196" s="17">
        <f>COUNTIF('261016'!$C$18:$C$47,$C196)+COUNTIF('261016'!$I$18:$I$47,$C196)</f>
        <v>0</v>
      </c>
      <c r="U196" s="17">
        <f>COUNTIF('261017'!$C$18:$C$47,$C196)+COUNTIF('261017'!$I$18:$I$47,$C196)</f>
        <v>0</v>
      </c>
      <c r="V196" s="17">
        <f>COUNTIF('261018'!$C$18:$C$47,$C196)+COUNTIF('261018'!$I$18:$I$47,$C196)</f>
        <v>0</v>
      </c>
      <c r="W196" s="17">
        <f>COUNTIF('261019'!$C$18:$C$47,$C196)+COUNTIF('261019'!$I$18:$I$47,$C196)</f>
        <v>0</v>
      </c>
      <c r="X196" s="17">
        <f>COUNTIF('261020'!$C$18:$C$47,$C196)+COUNTIF('261020'!$I$18:$I$47,$C196)</f>
        <v>0</v>
      </c>
      <c r="Y196" s="17">
        <f>COUNTIF('261021'!$C$18:$C$47,$C196)+COUNTIF('261021'!$I$18:$I$47,$C196)</f>
        <v>0</v>
      </c>
      <c r="Z196" s="17">
        <f>COUNTIF('261022'!$C$18:$C$47,$C196)+COUNTIF('261022'!$I$18:$I$47,$C196)</f>
        <v>0</v>
      </c>
      <c r="AA196" s="17">
        <f>COUNTIF('261023'!$C$18:$C$47,$C196)+COUNTIF('261023'!$I$18:$I$47,$C196)</f>
        <v>0</v>
      </c>
      <c r="AB196" s="17">
        <f>COUNTIF('261024'!$C$18:$C$47,$C196)+COUNTIF('261024'!$I$18:$I$47,$C196)</f>
        <v>0</v>
      </c>
      <c r="AC196" s="17">
        <f>COUNTIF('261025'!$C$18:$C$47,$C196)+COUNTIF('261025'!$I$18:$I$47,$C196)</f>
        <v>0</v>
      </c>
      <c r="AD196" s="17">
        <f>COUNTIF('261026'!$C$18:$C$47,$C196)+COUNTIF('261026'!$I$18:$I$47,$C196)</f>
        <v>0</v>
      </c>
      <c r="AE196" s="17">
        <f>COUNTIF('261027'!$C$18:$C$47,$C196)+COUNTIF('261027'!$I$18:$I$47,$C196)</f>
        <v>0</v>
      </c>
      <c r="AF196" s="17">
        <f>COUNTIF('261028'!$C$18:$C$47,$C196)+COUNTIF('261028'!$I$18:$I$47,$C196)</f>
        <v>0</v>
      </c>
      <c r="AG196" s="17">
        <f>COUNTIF('261029'!$C$18:$C$47,$C196)+COUNTIF('261029'!$I$18:$I$47,$C196)</f>
        <v>0</v>
      </c>
      <c r="AH196" s="17">
        <f>COUNTIF('261030'!$C$18:$C$47,$C196)+COUNTIF('261030'!$I$18:$I$47,$C196)</f>
        <v>0</v>
      </c>
      <c r="AI196" s="17">
        <f>COUNTIF('261031'!$C$18:$C$47,$C196)+COUNTIF('261031'!$I$18:$I$47,$C196)</f>
        <v>0</v>
      </c>
      <c r="AJ196" s="52">
        <f t="shared" si="8"/>
        <v>0</v>
      </c>
    </row>
    <row r="197" spans="2:36" ht="20.100000000000001" customHeight="1" x14ac:dyDescent="0.3">
      <c r="B197" s="36">
        <f t="shared" si="9"/>
        <v>193</v>
      </c>
      <c r="C197" s="19"/>
      <c r="D197" s="19"/>
      <c r="E197" s="17">
        <f>COUNTIF('261001'!$C$18:$C$47,$C197)+COUNTIF('261001'!$I$18:$I$47,$C197)</f>
        <v>0</v>
      </c>
      <c r="F197" s="17">
        <f>COUNTIF('261002'!$C$18:$C$47,$C197)+COUNTIF('261002'!$I$18:$I$47,$C197)</f>
        <v>0</v>
      </c>
      <c r="G197" s="17">
        <f>COUNTIF('261003'!$C$18:$C$47,$C197)+COUNTIF('261003'!$I$18:$I$47,$C197)</f>
        <v>0</v>
      </c>
      <c r="H197" s="17">
        <f>COUNTIF('261004'!$C$18:$C$47,$C197)+COUNTIF('261004'!$I$18:$I$47,$C197)</f>
        <v>0</v>
      </c>
      <c r="I197" s="17">
        <f>COUNTIF('261005'!$C$18:$C$47,$C197)+COUNTIF('261005'!$I$18:$I$47,$C197)</f>
        <v>0</v>
      </c>
      <c r="J197" s="17">
        <f>COUNTIF('261006'!$C$18:$C$47,$C197)+COUNTIF('261006'!$I$18:$I$47,$C197)</f>
        <v>0</v>
      </c>
      <c r="K197" s="17">
        <f>COUNTIF('261007'!$C$18:$C$47,$C197)+COUNTIF('261007'!$I$18:$I$47,$C197)</f>
        <v>0</v>
      </c>
      <c r="L197" s="17">
        <f>COUNTIF('261008'!$C$18:$C$47,$C197)+COUNTIF('261008'!$I$18:$I$47,$C197)</f>
        <v>0</v>
      </c>
      <c r="M197" s="17">
        <f>COUNTIF('261009'!$C$18:$C$47,$C197)+COUNTIF('261009'!$I$18:$I$47,$C197)</f>
        <v>0</v>
      </c>
      <c r="N197" s="17">
        <f>COUNTIF('261010'!$C$18:$C$47,$C197)+COUNTIF('261010'!$I$18:$I$47,$C197)</f>
        <v>0</v>
      </c>
      <c r="O197" s="17">
        <f>COUNTIF('261011'!$C$18:$C$47,$C197)+COUNTIF('261011'!$I$18:$I$47,$C197)</f>
        <v>0</v>
      </c>
      <c r="P197" s="17">
        <f>COUNTIF('261012'!$C$18:$C$47,$C197)+COUNTIF('261012'!$I$18:$I$47,$C197)</f>
        <v>0</v>
      </c>
      <c r="Q197" s="17">
        <f>COUNTIF('261013'!$C$18:$C$47,$C197)+COUNTIF('261013'!$I$18:$I$47,$C197)</f>
        <v>0</v>
      </c>
      <c r="R197" s="17">
        <f>COUNTIF('261014'!$C$18:$C$47,$C197)+COUNTIF('261014'!$I$18:$I$47,$C197)</f>
        <v>0</v>
      </c>
      <c r="S197" s="17">
        <f>COUNTIF('261015'!$C$18:$C$47,$C197)+COUNTIF('261015'!$I$18:$I$47,$C197)</f>
        <v>0</v>
      </c>
      <c r="T197" s="17">
        <f>COUNTIF('261016'!$C$18:$C$47,$C197)+COUNTIF('261016'!$I$18:$I$47,$C197)</f>
        <v>0</v>
      </c>
      <c r="U197" s="17">
        <f>COUNTIF('261017'!$C$18:$C$47,$C197)+COUNTIF('261017'!$I$18:$I$47,$C197)</f>
        <v>0</v>
      </c>
      <c r="V197" s="17">
        <f>COUNTIF('261018'!$C$18:$C$47,$C197)+COUNTIF('261018'!$I$18:$I$47,$C197)</f>
        <v>0</v>
      </c>
      <c r="W197" s="17">
        <f>COUNTIF('261019'!$C$18:$C$47,$C197)+COUNTIF('261019'!$I$18:$I$47,$C197)</f>
        <v>0</v>
      </c>
      <c r="X197" s="17">
        <f>COUNTIF('261020'!$C$18:$C$47,$C197)+COUNTIF('261020'!$I$18:$I$47,$C197)</f>
        <v>0</v>
      </c>
      <c r="Y197" s="17">
        <f>COUNTIF('261021'!$C$18:$C$47,$C197)+COUNTIF('261021'!$I$18:$I$47,$C197)</f>
        <v>0</v>
      </c>
      <c r="Z197" s="17">
        <f>COUNTIF('261022'!$C$18:$C$47,$C197)+COUNTIF('261022'!$I$18:$I$47,$C197)</f>
        <v>0</v>
      </c>
      <c r="AA197" s="17">
        <f>COUNTIF('261023'!$C$18:$C$47,$C197)+COUNTIF('261023'!$I$18:$I$47,$C197)</f>
        <v>0</v>
      </c>
      <c r="AB197" s="17">
        <f>COUNTIF('261024'!$C$18:$C$47,$C197)+COUNTIF('261024'!$I$18:$I$47,$C197)</f>
        <v>0</v>
      </c>
      <c r="AC197" s="17">
        <f>COUNTIF('261025'!$C$18:$C$47,$C197)+COUNTIF('261025'!$I$18:$I$47,$C197)</f>
        <v>0</v>
      </c>
      <c r="AD197" s="17">
        <f>COUNTIF('261026'!$C$18:$C$47,$C197)+COUNTIF('261026'!$I$18:$I$47,$C197)</f>
        <v>0</v>
      </c>
      <c r="AE197" s="17">
        <f>COUNTIF('261027'!$C$18:$C$47,$C197)+COUNTIF('261027'!$I$18:$I$47,$C197)</f>
        <v>0</v>
      </c>
      <c r="AF197" s="17">
        <f>COUNTIF('261028'!$C$18:$C$47,$C197)+COUNTIF('261028'!$I$18:$I$47,$C197)</f>
        <v>0</v>
      </c>
      <c r="AG197" s="17">
        <f>COUNTIF('261029'!$C$18:$C$47,$C197)+COUNTIF('261029'!$I$18:$I$47,$C197)</f>
        <v>0</v>
      </c>
      <c r="AH197" s="17">
        <f>COUNTIF('261030'!$C$18:$C$47,$C197)+COUNTIF('261030'!$I$18:$I$47,$C197)</f>
        <v>0</v>
      </c>
      <c r="AI197" s="17">
        <f>COUNTIF('261031'!$C$18:$C$47,$C197)+COUNTIF('261031'!$I$18:$I$47,$C197)</f>
        <v>0</v>
      </c>
      <c r="AJ197" s="52">
        <f t="shared" si="8"/>
        <v>0</v>
      </c>
    </row>
    <row r="198" spans="2:36" ht="20.100000000000001" customHeight="1" x14ac:dyDescent="0.3">
      <c r="B198" s="36">
        <f t="shared" si="9"/>
        <v>194</v>
      </c>
      <c r="C198" s="34"/>
      <c r="D198" s="19"/>
      <c r="E198" s="17">
        <f>COUNTIF('261001'!$C$18:$C$47,$C198)+COUNTIF('261001'!$I$18:$I$47,$C198)</f>
        <v>0</v>
      </c>
      <c r="F198" s="17">
        <f>COUNTIF('261002'!$C$18:$C$47,$C198)+COUNTIF('261002'!$I$18:$I$47,$C198)</f>
        <v>0</v>
      </c>
      <c r="G198" s="17">
        <f>COUNTIF('261003'!$C$18:$C$47,$C198)+COUNTIF('261003'!$I$18:$I$47,$C198)</f>
        <v>0</v>
      </c>
      <c r="H198" s="17">
        <f>COUNTIF('261004'!$C$18:$C$47,$C198)+COUNTIF('261004'!$I$18:$I$47,$C198)</f>
        <v>0</v>
      </c>
      <c r="I198" s="17">
        <f>COUNTIF('261005'!$C$18:$C$47,$C198)+COUNTIF('261005'!$I$18:$I$47,$C198)</f>
        <v>0</v>
      </c>
      <c r="J198" s="17">
        <f>COUNTIF('261006'!$C$18:$C$47,$C198)+COUNTIF('261006'!$I$18:$I$47,$C198)</f>
        <v>0</v>
      </c>
      <c r="K198" s="17">
        <f>COUNTIF('261007'!$C$18:$C$47,$C198)+COUNTIF('261007'!$I$18:$I$47,$C198)</f>
        <v>0</v>
      </c>
      <c r="L198" s="17">
        <f>COUNTIF('261008'!$C$18:$C$47,$C198)+COUNTIF('261008'!$I$18:$I$47,$C198)</f>
        <v>0</v>
      </c>
      <c r="M198" s="17">
        <f>COUNTIF('261009'!$C$18:$C$47,$C198)+COUNTIF('261009'!$I$18:$I$47,$C198)</f>
        <v>0</v>
      </c>
      <c r="N198" s="17">
        <f>COUNTIF('261010'!$C$18:$C$47,$C198)+COUNTIF('261010'!$I$18:$I$47,$C198)</f>
        <v>0</v>
      </c>
      <c r="O198" s="17">
        <f>COUNTIF('261011'!$C$18:$C$47,$C198)+COUNTIF('261011'!$I$18:$I$47,$C198)</f>
        <v>0</v>
      </c>
      <c r="P198" s="17">
        <f>COUNTIF('261012'!$C$18:$C$47,$C198)+COUNTIF('261012'!$I$18:$I$47,$C198)</f>
        <v>0</v>
      </c>
      <c r="Q198" s="17">
        <f>COUNTIF('261013'!$C$18:$C$47,$C198)+COUNTIF('261013'!$I$18:$I$47,$C198)</f>
        <v>0</v>
      </c>
      <c r="R198" s="17">
        <f>COUNTIF('261014'!$C$18:$C$47,$C198)+COUNTIF('261014'!$I$18:$I$47,$C198)</f>
        <v>0</v>
      </c>
      <c r="S198" s="17">
        <f>COUNTIF('261015'!$C$18:$C$47,$C198)+COUNTIF('261015'!$I$18:$I$47,$C198)</f>
        <v>0</v>
      </c>
      <c r="T198" s="17">
        <f>COUNTIF('261016'!$C$18:$C$47,$C198)+COUNTIF('261016'!$I$18:$I$47,$C198)</f>
        <v>0</v>
      </c>
      <c r="U198" s="17">
        <f>COUNTIF('261017'!$C$18:$C$47,$C198)+COUNTIF('261017'!$I$18:$I$47,$C198)</f>
        <v>0</v>
      </c>
      <c r="V198" s="17">
        <f>COUNTIF('261018'!$C$18:$C$47,$C198)+COUNTIF('261018'!$I$18:$I$47,$C198)</f>
        <v>0</v>
      </c>
      <c r="W198" s="17">
        <f>COUNTIF('261019'!$C$18:$C$47,$C198)+COUNTIF('261019'!$I$18:$I$47,$C198)</f>
        <v>0</v>
      </c>
      <c r="X198" s="17">
        <f>COUNTIF('261020'!$C$18:$C$47,$C198)+COUNTIF('261020'!$I$18:$I$47,$C198)</f>
        <v>0</v>
      </c>
      <c r="Y198" s="17">
        <f>COUNTIF('261021'!$C$18:$C$47,$C198)+COUNTIF('261021'!$I$18:$I$47,$C198)</f>
        <v>0</v>
      </c>
      <c r="Z198" s="17">
        <f>COUNTIF('261022'!$C$18:$C$47,$C198)+COUNTIF('261022'!$I$18:$I$47,$C198)</f>
        <v>0</v>
      </c>
      <c r="AA198" s="17">
        <f>COUNTIF('261023'!$C$18:$C$47,$C198)+COUNTIF('261023'!$I$18:$I$47,$C198)</f>
        <v>0</v>
      </c>
      <c r="AB198" s="17">
        <f>COUNTIF('261024'!$C$18:$C$47,$C198)+COUNTIF('261024'!$I$18:$I$47,$C198)</f>
        <v>0</v>
      </c>
      <c r="AC198" s="17">
        <f>COUNTIF('261025'!$C$18:$C$47,$C198)+COUNTIF('261025'!$I$18:$I$47,$C198)</f>
        <v>0</v>
      </c>
      <c r="AD198" s="17">
        <f>COUNTIF('261026'!$C$18:$C$47,$C198)+COUNTIF('261026'!$I$18:$I$47,$C198)</f>
        <v>0</v>
      </c>
      <c r="AE198" s="17">
        <f>COUNTIF('261027'!$C$18:$C$47,$C198)+COUNTIF('261027'!$I$18:$I$47,$C198)</f>
        <v>0</v>
      </c>
      <c r="AF198" s="17">
        <f>COUNTIF('261028'!$C$18:$C$47,$C198)+COUNTIF('261028'!$I$18:$I$47,$C198)</f>
        <v>0</v>
      </c>
      <c r="AG198" s="17">
        <f>COUNTIF('261029'!$C$18:$C$47,$C198)+COUNTIF('261029'!$I$18:$I$47,$C198)</f>
        <v>0</v>
      </c>
      <c r="AH198" s="17">
        <f>COUNTIF('261030'!$C$18:$C$47,$C198)+COUNTIF('261030'!$I$18:$I$47,$C198)</f>
        <v>0</v>
      </c>
      <c r="AI198" s="17">
        <f>COUNTIF('261031'!$C$18:$C$47,$C198)+COUNTIF('261031'!$I$18:$I$47,$C198)</f>
        <v>0</v>
      </c>
      <c r="AJ198" s="52">
        <f t="shared" si="8"/>
        <v>0</v>
      </c>
    </row>
    <row r="199" spans="2:36" ht="20.100000000000001" customHeight="1" x14ac:dyDescent="0.3">
      <c r="B199" s="36">
        <f t="shared" si="9"/>
        <v>195</v>
      </c>
      <c r="C199" s="34"/>
      <c r="D199" s="19"/>
      <c r="E199" s="17">
        <f>COUNTIF('261001'!$C$18:$C$47,$C199)+COUNTIF('261001'!$I$18:$I$47,$C199)</f>
        <v>0</v>
      </c>
      <c r="F199" s="17">
        <f>COUNTIF('261002'!$C$18:$C$47,$C199)+COUNTIF('261002'!$I$18:$I$47,$C199)</f>
        <v>0</v>
      </c>
      <c r="G199" s="17">
        <f>COUNTIF('261003'!$C$18:$C$47,$C199)+COUNTIF('261003'!$I$18:$I$47,$C199)</f>
        <v>0</v>
      </c>
      <c r="H199" s="17">
        <f>COUNTIF('261004'!$C$18:$C$47,$C199)+COUNTIF('261004'!$I$18:$I$47,$C199)</f>
        <v>0</v>
      </c>
      <c r="I199" s="17">
        <f>COUNTIF('261005'!$C$18:$C$47,$C199)+COUNTIF('261005'!$I$18:$I$47,$C199)</f>
        <v>0</v>
      </c>
      <c r="J199" s="17">
        <f>COUNTIF('261006'!$C$18:$C$47,$C199)+COUNTIF('261006'!$I$18:$I$47,$C199)</f>
        <v>0</v>
      </c>
      <c r="K199" s="17">
        <f>COUNTIF('261007'!$C$18:$C$47,$C199)+COUNTIF('261007'!$I$18:$I$47,$C199)</f>
        <v>0</v>
      </c>
      <c r="L199" s="17">
        <f>COUNTIF('261008'!$C$18:$C$47,$C199)+COUNTIF('261008'!$I$18:$I$47,$C199)</f>
        <v>0</v>
      </c>
      <c r="M199" s="17">
        <f>COUNTIF('261009'!$C$18:$C$47,$C199)+COUNTIF('261009'!$I$18:$I$47,$C199)</f>
        <v>0</v>
      </c>
      <c r="N199" s="17">
        <f>COUNTIF('261010'!$C$18:$C$47,$C199)+COUNTIF('261010'!$I$18:$I$47,$C199)</f>
        <v>0</v>
      </c>
      <c r="O199" s="17">
        <f>COUNTIF('261011'!$C$18:$C$47,$C199)+COUNTIF('261011'!$I$18:$I$47,$C199)</f>
        <v>0</v>
      </c>
      <c r="P199" s="17">
        <f>COUNTIF('261012'!$C$18:$C$47,$C199)+COUNTIF('261012'!$I$18:$I$47,$C199)</f>
        <v>0</v>
      </c>
      <c r="Q199" s="17">
        <f>COUNTIF('261013'!$C$18:$C$47,$C199)+COUNTIF('261013'!$I$18:$I$47,$C199)</f>
        <v>0</v>
      </c>
      <c r="R199" s="17">
        <f>COUNTIF('261014'!$C$18:$C$47,$C199)+COUNTIF('261014'!$I$18:$I$47,$C199)</f>
        <v>0</v>
      </c>
      <c r="S199" s="17">
        <f>COUNTIF('261015'!$C$18:$C$47,$C199)+COUNTIF('261015'!$I$18:$I$47,$C199)</f>
        <v>0</v>
      </c>
      <c r="T199" s="17">
        <f>COUNTIF('261016'!$C$18:$C$47,$C199)+COUNTIF('261016'!$I$18:$I$47,$C199)</f>
        <v>0</v>
      </c>
      <c r="U199" s="17">
        <f>COUNTIF('261017'!$C$18:$C$47,$C199)+COUNTIF('261017'!$I$18:$I$47,$C199)</f>
        <v>0</v>
      </c>
      <c r="V199" s="17">
        <f>COUNTIF('261018'!$C$18:$C$47,$C199)+COUNTIF('261018'!$I$18:$I$47,$C199)</f>
        <v>0</v>
      </c>
      <c r="W199" s="17">
        <f>COUNTIF('261019'!$C$18:$C$47,$C199)+COUNTIF('261019'!$I$18:$I$47,$C199)</f>
        <v>0</v>
      </c>
      <c r="X199" s="17">
        <f>COUNTIF('261020'!$C$18:$C$47,$C199)+COUNTIF('261020'!$I$18:$I$47,$C199)</f>
        <v>0</v>
      </c>
      <c r="Y199" s="17">
        <f>COUNTIF('261021'!$C$18:$C$47,$C199)+COUNTIF('261021'!$I$18:$I$47,$C199)</f>
        <v>0</v>
      </c>
      <c r="Z199" s="17">
        <f>COUNTIF('261022'!$C$18:$C$47,$C199)+COUNTIF('261022'!$I$18:$I$47,$C199)</f>
        <v>0</v>
      </c>
      <c r="AA199" s="17">
        <f>COUNTIF('261023'!$C$18:$C$47,$C199)+COUNTIF('261023'!$I$18:$I$47,$C199)</f>
        <v>0</v>
      </c>
      <c r="AB199" s="17">
        <f>COUNTIF('261024'!$C$18:$C$47,$C199)+COUNTIF('261024'!$I$18:$I$47,$C199)</f>
        <v>0</v>
      </c>
      <c r="AC199" s="17">
        <f>COUNTIF('261025'!$C$18:$C$47,$C199)+COUNTIF('261025'!$I$18:$I$47,$C199)</f>
        <v>0</v>
      </c>
      <c r="AD199" s="17">
        <f>COUNTIF('261026'!$C$18:$C$47,$C199)+COUNTIF('261026'!$I$18:$I$47,$C199)</f>
        <v>0</v>
      </c>
      <c r="AE199" s="17">
        <f>COUNTIF('261027'!$C$18:$C$47,$C199)+COUNTIF('261027'!$I$18:$I$47,$C199)</f>
        <v>0</v>
      </c>
      <c r="AF199" s="17">
        <f>COUNTIF('261028'!$C$18:$C$47,$C199)+COUNTIF('261028'!$I$18:$I$47,$C199)</f>
        <v>0</v>
      </c>
      <c r="AG199" s="17">
        <f>COUNTIF('261029'!$C$18:$C$47,$C199)+COUNTIF('261029'!$I$18:$I$47,$C199)</f>
        <v>0</v>
      </c>
      <c r="AH199" s="17">
        <f>COUNTIF('261030'!$C$18:$C$47,$C199)+COUNTIF('261030'!$I$18:$I$47,$C199)</f>
        <v>0</v>
      </c>
      <c r="AI199" s="17">
        <f>COUNTIF('261031'!$C$18:$C$47,$C199)+COUNTIF('261031'!$I$18:$I$47,$C199)</f>
        <v>0</v>
      </c>
      <c r="AJ199" s="52">
        <f t="shared" si="8"/>
        <v>0</v>
      </c>
    </row>
    <row r="200" spans="2:36" ht="20.100000000000001" customHeight="1" x14ac:dyDescent="0.3">
      <c r="B200" s="36">
        <f t="shared" si="9"/>
        <v>196</v>
      </c>
      <c r="C200" s="34"/>
      <c r="D200" s="19"/>
      <c r="E200" s="17">
        <f>COUNTIF('261001'!$C$18:$C$47,$C200)+COUNTIF('261001'!$I$18:$I$47,$C200)</f>
        <v>0</v>
      </c>
      <c r="F200" s="17">
        <f>COUNTIF('261002'!$C$18:$C$47,$C200)+COUNTIF('261002'!$I$18:$I$47,$C200)</f>
        <v>0</v>
      </c>
      <c r="G200" s="17">
        <f>COUNTIF('261003'!$C$18:$C$47,$C200)+COUNTIF('261003'!$I$18:$I$47,$C200)</f>
        <v>0</v>
      </c>
      <c r="H200" s="17">
        <f>COUNTIF('261004'!$C$18:$C$47,$C200)+COUNTIF('261004'!$I$18:$I$47,$C200)</f>
        <v>0</v>
      </c>
      <c r="I200" s="17">
        <f>COUNTIF('261005'!$C$18:$C$47,$C200)+COUNTIF('261005'!$I$18:$I$47,$C200)</f>
        <v>0</v>
      </c>
      <c r="J200" s="17">
        <f>COUNTIF('261006'!$C$18:$C$47,$C200)+COUNTIF('261006'!$I$18:$I$47,$C200)</f>
        <v>0</v>
      </c>
      <c r="K200" s="17">
        <f>COUNTIF('261007'!$C$18:$C$47,$C200)+COUNTIF('261007'!$I$18:$I$47,$C200)</f>
        <v>0</v>
      </c>
      <c r="L200" s="17">
        <f>COUNTIF('261008'!$C$18:$C$47,$C200)+COUNTIF('261008'!$I$18:$I$47,$C200)</f>
        <v>0</v>
      </c>
      <c r="M200" s="17">
        <f>COUNTIF('261009'!$C$18:$C$47,$C200)+COUNTIF('261009'!$I$18:$I$47,$C200)</f>
        <v>0</v>
      </c>
      <c r="N200" s="17">
        <f>COUNTIF('261010'!$C$18:$C$47,$C200)+COUNTIF('261010'!$I$18:$I$47,$C200)</f>
        <v>0</v>
      </c>
      <c r="O200" s="17">
        <f>COUNTIF('261011'!$C$18:$C$47,$C200)+COUNTIF('261011'!$I$18:$I$47,$C200)</f>
        <v>0</v>
      </c>
      <c r="P200" s="17">
        <f>COUNTIF('261012'!$C$18:$C$47,$C200)+COUNTIF('261012'!$I$18:$I$47,$C200)</f>
        <v>0</v>
      </c>
      <c r="Q200" s="17">
        <f>COUNTIF('261013'!$C$18:$C$47,$C200)+COUNTIF('261013'!$I$18:$I$47,$C200)</f>
        <v>0</v>
      </c>
      <c r="R200" s="17">
        <f>COUNTIF('261014'!$C$18:$C$47,$C200)+COUNTIF('261014'!$I$18:$I$47,$C200)</f>
        <v>0</v>
      </c>
      <c r="S200" s="17">
        <f>COUNTIF('261015'!$C$18:$C$47,$C200)+COUNTIF('261015'!$I$18:$I$47,$C200)</f>
        <v>0</v>
      </c>
      <c r="T200" s="17">
        <f>COUNTIF('261016'!$C$18:$C$47,$C200)+COUNTIF('261016'!$I$18:$I$47,$C200)</f>
        <v>0</v>
      </c>
      <c r="U200" s="17">
        <f>COUNTIF('261017'!$C$18:$C$47,$C200)+COUNTIF('261017'!$I$18:$I$47,$C200)</f>
        <v>0</v>
      </c>
      <c r="V200" s="17">
        <f>COUNTIF('261018'!$C$18:$C$47,$C200)+COUNTIF('261018'!$I$18:$I$47,$C200)</f>
        <v>0</v>
      </c>
      <c r="W200" s="17">
        <f>COUNTIF('261019'!$C$18:$C$47,$C200)+COUNTIF('261019'!$I$18:$I$47,$C200)</f>
        <v>0</v>
      </c>
      <c r="X200" s="17">
        <f>COUNTIF('261020'!$C$18:$C$47,$C200)+COUNTIF('261020'!$I$18:$I$47,$C200)</f>
        <v>0</v>
      </c>
      <c r="Y200" s="17">
        <f>COUNTIF('261021'!$C$18:$C$47,$C200)+COUNTIF('261021'!$I$18:$I$47,$C200)</f>
        <v>0</v>
      </c>
      <c r="Z200" s="17">
        <f>COUNTIF('261022'!$C$18:$C$47,$C200)+COUNTIF('261022'!$I$18:$I$47,$C200)</f>
        <v>0</v>
      </c>
      <c r="AA200" s="17">
        <f>COUNTIF('261023'!$C$18:$C$47,$C200)+COUNTIF('261023'!$I$18:$I$47,$C200)</f>
        <v>0</v>
      </c>
      <c r="AB200" s="17">
        <f>COUNTIF('261024'!$C$18:$C$47,$C200)+COUNTIF('261024'!$I$18:$I$47,$C200)</f>
        <v>0</v>
      </c>
      <c r="AC200" s="17">
        <f>COUNTIF('261025'!$C$18:$C$47,$C200)+COUNTIF('261025'!$I$18:$I$47,$C200)</f>
        <v>0</v>
      </c>
      <c r="AD200" s="17">
        <f>COUNTIF('261026'!$C$18:$C$47,$C200)+COUNTIF('261026'!$I$18:$I$47,$C200)</f>
        <v>0</v>
      </c>
      <c r="AE200" s="17">
        <f>COUNTIF('261027'!$C$18:$C$47,$C200)+COUNTIF('261027'!$I$18:$I$47,$C200)</f>
        <v>0</v>
      </c>
      <c r="AF200" s="17">
        <f>COUNTIF('261028'!$C$18:$C$47,$C200)+COUNTIF('261028'!$I$18:$I$47,$C200)</f>
        <v>0</v>
      </c>
      <c r="AG200" s="17">
        <f>COUNTIF('261029'!$C$18:$C$47,$C200)+COUNTIF('261029'!$I$18:$I$47,$C200)</f>
        <v>0</v>
      </c>
      <c r="AH200" s="17">
        <f>COUNTIF('261030'!$C$18:$C$47,$C200)+COUNTIF('261030'!$I$18:$I$47,$C200)</f>
        <v>0</v>
      </c>
      <c r="AI200" s="17">
        <f>COUNTIF('261031'!$C$18:$C$47,$C200)+COUNTIF('261031'!$I$18:$I$47,$C200)</f>
        <v>0</v>
      </c>
      <c r="AJ200" s="52">
        <f t="shared" si="8"/>
        <v>0</v>
      </c>
    </row>
    <row r="201" spans="2:36" ht="20.100000000000001" customHeight="1" x14ac:dyDescent="0.3">
      <c r="B201" s="36">
        <f t="shared" si="9"/>
        <v>197</v>
      </c>
      <c r="C201" s="34"/>
      <c r="D201" s="19"/>
      <c r="E201" s="17">
        <f>COUNTIF('261001'!$C$18:$C$47,$C201)+COUNTIF('261001'!$I$18:$I$47,$C201)</f>
        <v>0</v>
      </c>
      <c r="F201" s="17">
        <f>COUNTIF('261002'!$C$18:$C$47,$C201)+COUNTIF('261002'!$I$18:$I$47,$C201)</f>
        <v>0</v>
      </c>
      <c r="G201" s="17">
        <f>COUNTIF('261003'!$C$18:$C$47,$C201)+COUNTIF('261003'!$I$18:$I$47,$C201)</f>
        <v>0</v>
      </c>
      <c r="H201" s="17">
        <f>COUNTIF('261004'!$C$18:$C$47,$C201)+COUNTIF('261004'!$I$18:$I$47,$C201)</f>
        <v>0</v>
      </c>
      <c r="I201" s="17">
        <f>COUNTIF('261005'!$C$18:$C$47,$C201)+COUNTIF('261005'!$I$18:$I$47,$C201)</f>
        <v>0</v>
      </c>
      <c r="J201" s="17">
        <f>COUNTIF('261006'!$C$18:$C$47,$C201)+COUNTIF('261006'!$I$18:$I$47,$C201)</f>
        <v>0</v>
      </c>
      <c r="K201" s="17">
        <f>COUNTIF('261007'!$C$18:$C$47,$C201)+COUNTIF('261007'!$I$18:$I$47,$C201)</f>
        <v>0</v>
      </c>
      <c r="L201" s="17">
        <f>COUNTIF('261008'!$C$18:$C$47,$C201)+COUNTIF('261008'!$I$18:$I$47,$C201)</f>
        <v>0</v>
      </c>
      <c r="M201" s="17">
        <f>COUNTIF('261009'!$C$18:$C$47,$C201)+COUNTIF('261009'!$I$18:$I$47,$C201)</f>
        <v>0</v>
      </c>
      <c r="N201" s="17">
        <f>COUNTIF('261010'!$C$18:$C$47,$C201)+COUNTIF('261010'!$I$18:$I$47,$C201)</f>
        <v>0</v>
      </c>
      <c r="O201" s="17">
        <f>COUNTIF('261011'!$C$18:$C$47,$C201)+COUNTIF('261011'!$I$18:$I$47,$C201)</f>
        <v>0</v>
      </c>
      <c r="P201" s="17">
        <f>COUNTIF('261012'!$C$18:$C$47,$C201)+COUNTIF('261012'!$I$18:$I$47,$C201)</f>
        <v>0</v>
      </c>
      <c r="Q201" s="17">
        <f>COUNTIF('261013'!$C$18:$C$47,$C201)+COUNTIF('261013'!$I$18:$I$47,$C201)</f>
        <v>0</v>
      </c>
      <c r="R201" s="17">
        <f>COUNTIF('261014'!$C$18:$C$47,$C201)+COUNTIF('261014'!$I$18:$I$47,$C201)</f>
        <v>0</v>
      </c>
      <c r="S201" s="17">
        <f>COUNTIF('261015'!$C$18:$C$47,$C201)+COUNTIF('261015'!$I$18:$I$47,$C201)</f>
        <v>0</v>
      </c>
      <c r="T201" s="17">
        <f>COUNTIF('261016'!$C$18:$C$47,$C201)+COUNTIF('261016'!$I$18:$I$47,$C201)</f>
        <v>0</v>
      </c>
      <c r="U201" s="17">
        <f>COUNTIF('261017'!$C$18:$C$47,$C201)+COUNTIF('261017'!$I$18:$I$47,$C201)</f>
        <v>0</v>
      </c>
      <c r="V201" s="17">
        <f>COUNTIF('261018'!$C$18:$C$47,$C201)+COUNTIF('261018'!$I$18:$I$47,$C201)</f>
        <v>0</v>
      </c>
      <c r="W201" s="17">
        <f>COUNTIF('261019'!$C$18:$C$47,$C201)+COUNTIF('261019'!$I$18:$I$47,$C201)</f>
        <v>0</v>
      </c>
      <c r="X201" s="17">
        <f>COUNTIF('261020'!$C$18:$C$47,$C201)+COUNTIF('261020'!$I$18:$I$47,$C201)</f>
        <v>0</v>
      </c>
      <c r="Y201" s="17">
        <f>COUNTIF('261021'!$C$18:$C$47,$C201)+COUNTIF('261021'!$I$18:$I$47,$C201)</f>
        <v>0</v>
      </c>
      <c r="Z201" s="17">
        <f>COUNTIF('261022'!$C$18:$C$47,$C201)+COUNTIF('261022'!$I$18:$I$47,$C201)</f>
        <v>0</v>
      </c>
      <c r="AA201" s="17">
        <f>COUNTIF('261023'!$C$18:$C$47,$C201)+COUNTIF('261023'!$I$18:$I$47,$C201)</f>
        <v>0</v>
      </c>
      <c r="AB201" s="17">
        <f>COUNTIF('261024'!$C$18:$C$47,$C201)+COUNTIF('261024'!$I$18:$I$47,$C201)</f>
        <v>0</v>
      </c>
      <c r="AC201" s="17">
        <f>COUNTIF('261025'!$C$18:$C$47,$C201)+COUNTIF('261025'!$I$18:$I$47,$C201)</f>
        <v>0</v>
      </c>
      <c r="AD201" s="17">
        <f>COUNTIF('261026'!$C$18:$C$47,$C201)+COUNTIF('261026'!$I$18:$I$47,$C201)</f>
        <v>0</v>
      </c>
      <c r="AE201" s="17">
        <f>COUNTIF('261027'!$C$18:$C$47,$C201)+COUNTIF('261027'!$I$18:$I$47,$C201)</f>
        <v>0</v>
      </c>
      <c r="AF201" s="17">
        <f>COUNTIF('261028'!$C$18:$C$47,$C201)+COUNTIF('261028'!$I$18:$I$47,$C201)</f>
        <v>0</v>
      </c>
      <c r="AG201" s="17">
        <f>COUNTIF('261029'!$C$18:$C$47,$C201)+COUNTIF('261029'!$I$18:$I$47,$C201)</f>
        <v>0</v>
      </c>
      <c r="AH201" s="17">
        <f>COUNTIF('261030'!$C$18:$C$47,$C201)+COUNTIF('261030'!$I$18:$I$47,$C201)</f>
        <v>0</v>
      </c>
      <c r="AI201" s="17">
        <f>COUNTIF('261031'!$C$18:$C$47,$C201)+COUNTIF('261031'!$I$18:$I$47,$C201)</f>
        <v>0</v>
      </c>
      <c r="AJ201" s="24">
        <f t="shared" si="8"/>
        <v>0</v>
      </c>
    </row>
    <row r="202" spans="2:36" ht="20.100000000000001" customHeight="1" x14ac:dyDescent="0.3">
      <c r="B202" s="36">
        <f t="shared" si="9"/>
        <v>198</v>
      </c>
      <c r="C202" s="34"/>
      <c r="D202" s="19"/>
      <c r="E202" s="17">
        <f>COUNTIF('261001'!$C$18:$C$47,$C202)+COUNTIF('261001'!$I$18:$I$47,$C202)</f>
        <v>0</v>
      </c>
      <c r="F202" s="17">
        <f>COUNTIF('261002'!$C$18:$C$47,$C202)+COUNTIF('261002'!$I$18:$I$47,$C202)</f>
        <v>0</v>
      </c>
      <c r="G202" s="17">
        <f>COUNTIF('261003'!$C$18:$C$47,$C202)+COUNTIF('261003'!$I$18:$I$47,$C202)</f>
        <v>0</v>
      </c>
      <c r="H202" s="17">
        <f>COUNTIF('261004'!$C$18:$C$47,$C202)+COUNTIF('261004'!$I$18:$I$47,$C202)</f>
        <v>0</v>
      </c>
      <c r="I202" s="17">
        <f>COUNTIF('261005'!$C$18:$C$47,$C202)+COUNTIF('261005'!$I$18:$I$47,$C202)</f>
        <v>0</v>
      </c>
      <c r="J202" s="17">
        <f>COUNTIF('261006'!$C$18:$C$47,$C202)+COUNTIF('261006'!$I$18:$I$47,$C202)</f>
        <v>0</v>
      </c>
      <c r="K202" s="17">
        <f>COUNTIF('261007'!$C$18:$C$47,$C202)+COUNTIF('261007'!$I$18:$I$47,$C202)</f>
        <v>0</v>
      </c>
      <c r="L202" s="17">
        <f>COUNTIF('261008'!$C$18:$C$47,$C202)+COUNTIF('261008'!$I$18:$I$47,$C202)</f>
        <v>0</v>
      </c>
      <c r="M202" s="17">
        <f>COUNTIF('261009'!$C$18:$C$47,$C202)+COUNTIF('261009'!$I$18:$I$47,$C202)</f>
        <v>0</v>
      </c>
      <c r="N202" s="17">
        <f>COUNTIF('261010'!$C$18:$C$47,$C202)+COUNTIF('261010'!$I$18:$I$47,$C202)</f>
        <v>0</v>
      </c>
      <c r="O202" s="17">
        <f>COUNTIF('261011'!$C$18:$C$47,$C202)+COUNTIF('261011'!$I$18:$I$47,$C202)</f>
        <v>0</v>
      </c>
      <c r="P202" s="17">
        <f>COUNTIF('261012'!$C$18:$C$47,$C202)+COUNTIF('261012'!$I$18:$I$47,$C202)</f>
        <v>0</v>
      </c>
      <c r="Q202" s="17">
        <f>COUNTIF('261013'!$C$18:$C$47,$C202)+COUNTIF('261013'!$I$18:$I$47,$C202)</f>
        <v>0</v>
      </c>
      <c r="R202" s="17">
        <f>COUNTIF('261014'!$C$18:$C$47,$C202)+COUNTIF('261014'!$I$18:$I$47,$C202)</f>
        <v>0</v>
      </c>
      <c r="S202" s="17">
        <f>COUNTIF('261015'!$C$18:$C$47,$C202)+COUNTIF('261015'!$I$18:$I$47,$C202)</f>
        <v>0</v>
      </c>
      <c r="T202" s="17">
        <f>COUNTIF('261016'!$C$18:$C$47,$C202)+COUNTIF('261016'!$I$18:$I$47,$C202)</f>
        <v>0</v>
      </c>
      <c r="U202" s="17">
        <f>COUNTIF('261017'!$C$18:$C$47,$C202)+COUNTIF('261017'!$I$18:$I$47,$C202)</f>
        <v>0</v>
      </c>
      <c r="V202" s="17">
        <f>COUNTIF('261018'!$C$18:$C$47,$C202)+COUNTIF('261018'!$I$18:$I$47,$C202)</f>
        <v>0</v>
      </c>
      <c r="W202" s="17">
        <f>COUNTIF('261019'!$C$18:$C$47,$C202)+COUNTIF('261019'!$I$18:$I$47,$C202)</f>
        <v>0</v>
      </c>
      <c r="X202" s="17">
        <f>COUNTIF('261020'!$C$18:$C$47,$C202)+COUNTIF('261020'!$I$18:$I$47,$C202)</f>
        <v>0</v>
      </c>
      <c r="Y202" s="17">
        <f>COUNTIF('261021'!$C$18:$C$47,$C202)+COUNTIF('261021'!$I$18:$I$47,$C202)</f>
        <v>0</v>
      </c>
      <c r="Z202" s="17">
        <f>COUNTIF('261022'!$C$18:$C$47,$C202)+COUNTIF('261022'!$I$18:$I$47,$C202)</f>
        <v>0</v>
      </c>
      <c r="AA202" s="17">
        <f>COUNTIF('261023'!$C$18:$C$47,$C202)+COUNTIF('261023'!$I$18:$I$47,$C202)</f>
        <v>0</v>
      </c>
      <c r="AB202" s="17">
        <f>COUNTIF('261024'!$C$18:$C$47,$C202)+COUNTIF('261024'!$I$18:$I$47,$C202)</f>
        <v>0</v>
      </c>
      <c r="AC202" s="17">
        <f>COUNTIF('261025'!$C$18:$C$47,$C202)+COUNTIF('261025'!$I$18:$I$47,$C202)</f>
        <v>0</v>
      </c>
      <c r="AD202" s="17">
        <f>COUNTIF('261026'!$C$18:$C$47,$C202)+COUNTIF('261026'!$I$18:$I$47,$C202)</f>
        <v>0</v>
      </c>
      <c r="AE202" s="17">
        <f>COUNTIF('261027'!$C$18:$C$47,$C202)+COUNTIF('261027'!$I$18:$I$47,$C202)</f>
        <v>0</v>
      </c>
      <c r="AF202" s="17">
        <f>COUNTIF('261028'!$C$18:$C$47,$C202)+COUNTIF('261028'!$I$18:$I$47,$C202)</f>
        <v>0</v>
      </c>
      <c r="AG202" s="17">
        <f>COUNTIF('261029'!$C$18:$C$47,$C202)+COUNTIF('261029'!$I$18:$I$47,$C202)</f>
        <v>0</v>
      </c>
      <c r="AH202" s="17">
        <f>COUNTIF('261030'!$C$18:$C$47,$C202)+COUNTIF('261030'!$I$18:$I$47,$C202)</f>
        <v>0</v>
      </c>
      <c r="AI202" s="17">
        <f>COUNTIF('261031'!$C$18:$C$47,$C202)+COUNTIF('261031'!$I$18:$I$47,$C202)</f>
        <v>0</v>
      </c>
      <c r="AJ202" s="24">
        <f t="shared" si="8"/>
        <v>0</v>
      </c>
    </row>
    <row r="203" spans="2:36" ht="20.100000000000001" customHeight="1" x14ac:dyDescent="0.3">
      <c r="B203" s="36">
        <f t="shared" si="9"/>
        <v>199</v>
      </c>
      <c r="C203" s="34"/>
      <c r="D203" s="19"/>
      <c r="E203" s="17">
        <f>COUNTIF('261001'!$C$18:$C$47,$C203)+COUNTIF('261001'!$I$18:$I$47,$C203)</f>
        <v>0</v>
      </c>
      <c r="F203" s="17">
        <f>COUNTIF('261002'!$C$18:$C$47,$C203)+COUNTIF('261002'!$I$18:$I$47,$C203)</f>
        <v>0</v>
      </c>
      <c r="G203" s="17">
        <f>COUNTIF('261003'!$C$18:$C$47,$C203)+COUNTIF('261003'!$I$18:$I$47,$C203)</f>
        <v>0</v>
      </c>
      <c r="H203" s="17">
        <f>COUNTIF('261004'!$C$18:$C$47,$C203)+COUNTIF('261004'!$I$18:$I$47,$C203)</f>
        <v>0</v>
      </c>
      <c r="I203" s="17">
        <f>COUNTIF('261005'!$C$18:$C$47,$C203)+COUNTIF('261005'!$I$18:$I$47,$C203)</f>
        <v>0</v>
      </c>
      <c r="J203" s="17">
        <f>COUNTIF('261006'!$C$18:$C$47,$C203)+COUNTIF('261006'!$I$18:$I$47,$C203)</f>
        <v>0</v>
      </c>
      <c r="K203" s="17">
        <f>COUNTIF('261007'!$C$18:$C$47,$C203)+COUNTIF('261007'!$I$18:$I$47,$C203)</f>
        <v>0</v>
      </c>
      <c r="L203" s="17">
        <f>COUNTIF('261008'!$C$18:$C$47,$C203)+COUNTIF('261008'!$I$18:$I$47,$C203)</f>
        <v>0</v>
      </c>
      <c r="M203" s="17">
        <f>COUNTIF('261009'!$C$18:$C$47,$C203)+COUNTIF('261009'!$I$18:$I$47,$C203)</f>
        <v>0</v>
      </c>
      <c r="N203" s="17">
        <f>COUNTIF('261010'!$C$18:$C$47,$C203)+COUNTIF('261010'!$I$18:$I$47,$C203)</f>
        <v>0</v>
      </c>
      <c r="O203" s="17">
        <f>COUNTIF('261011'!$C$18:$C$47,$C203)+COUNTIF('261011'!$I$18:$I$47,$C203)</f>
        <v>0</v>
      </c>
      <c r="P203" s="17">
        <f>COUNTIF('261012'!$C$18:$C$47,$C203)+COUNTIF('261012'!$I$18:$I$47,$C203)</f>
        <v>0</v>
      </c>
      <c r="Q203" s="17">
        <f>COUNTIF('261013'!$C$18:$C$47,$C203)+COUNTIF('261013'!$I$18:$I$47,$C203)</f>
        <v>0</v>
      </c>
      <c r="R203" s="17">
        <f>COUNTIF('261014'!$C$18:$C$47,$C203)+COUNTIF('261014'!$I$18:$I$47,$C203)</f>
        <v>0</v>
      </c>
      <c r="S203" s="17">
        <f>COUNTIF('261015'!$C$18:$C$47,$C203)+COUNTIF('261015'!$I$18:$I$47,$C203)</f>
        <v>0</v>
      </c>
      <c r="T203" s="17">
        <f>COUNTIF('261016'!$C$18:$C$47,$C203)+COUNTIF('261016'!$I$18:$I$47,$C203)</f>
        <v>0</v>
      </c>
      <c r="U203" s="17">
        <f>COUNTIF('261017'!$C$18:$C$47,$C203)+COUNTIF('261017'!$I$18:$I$47,$C203)</f>
        <v>0</v>
      </c>
      <c r="V203" s="17">
        <f>COUNTIF('261018'!$C$18:$C$47,$C203)+COUNTIF('261018'!$I$18:$I$47,$C203)</f>
        <v>0</v>
      </c>
      <c r="W203" s="17">
        <f>COUNTIF('261019'!$C$18:$C$47,$C203)+COUNTIF('261019'!$I$18:$I$47,$C203)</f>
        <v>0</v>
      </c>
      <c r="X203" s="17">
        <f>COUNTIF('261020'!$C$18:$C$47,$C203)+COUNTIF('261020'!$I$18:$I$47,$C203)</f>
        <v>0</v>
      </c>
      <c r="Y203" s="17">
        <f>COUNTIF('261021'!$C$18:$C$47,$C203)+COUNTIF('261021'!$I$18:$I$47,$C203)</f>
        <v>0</v>
      </c>
      <c r="Z203" s="17">
        <f>COUNTIF('261022'!$C$18:$C$47,$C203)+COUNTIF('261022'!$I$18:$I$47,$C203)</f>
        <v>0</v>
      </c>
      <c r="AA203" s="17">
        <f>COUNTIF('261023'!$C$18:$C$47,$C203)+COUNTIF('261023'!$I$18:$I$47,$C203)</f>
        <v>0</v>
      </c>
      <c r="AB203" s="17">
        <f>COUNTIF('261024'!$C$18:$C$47,$C203)+COUNTIF('261024'!$I$18:$I$47,$C203)</f>
        <v>0</v>
      </c>
      <c r="AC203" s="17">
        <f>COUNTIF('261025'!$C$18:$C$47,$C203)+COUNTIF('261025'!$I$18:$I$47,$C203)</f>
        <v>0</v>
      </c>
      <c r="AD203" s="17">
        <f>COUNTIF('261026'!$C$18:$C$47,$C203)+COUNTIF('261026'!$I$18:$I$47,$C203)</f>
        <v>0</v>
      </c>
      <c r="AE203" s="17">
        <f>COUNTIF('261027'!$C$18:$C$47,$C203)+COUNTIF('261027'!$I$18:$I$47,$C203)</f>
        <v>0</v>
      </c>
      <c r="AF203" s="17">
        <f>COUNTIF('261028'!$C$18:$C$47,$C203)+COUNTIF('261028'!$I$18:$I$47,$C203)</f>
        <v>0</v>
      </c>
      <c r="AG203" s="17">
        <f>COUNTIF('261029'!$C$18:$C$47,$C203)+COUNTIF('261029'!$I$18:$I$47,$C203)</f>
        <v>0</v>
      </c>
      <c r="AH203" s="17">
        <f>COUNTIF('261030'!$C$18:$C$47,$C203)+COUNTIF('261030'!$I$18:$I$47,$C203)</f>
        <v>0</v>
      </c>
      <c r="AI203" s="17">
        <f>COUNTIF('261031'!$C$18:$C$47,$C203)+COUNTIF('261031'!$I$18:$I$47,$C203)</f>
        <v>0</v>
      </c>
      <c r="AJ203" s="24">
        <f t="shared" si="8"/>
        <v>0</v>
      </c>
    </row>
    <row r="204" spans="2:36" ht="20.100000000000001" customHeight="1" x14ac:dyDescent="0.3">
      <c r="B204" s="36">
        <f t="shared" si="9"/>
        <v>200</v>
      </c>
      <c r="C204" s="20"/>
      <c r="D204" s="20"/>
      <c r="E204" s="18">
        <f>COUNTIF('261001'!$C$18:$C$47,$C204)+COUNTIF('261001'!$I$18:$I$47,$C204)</f>
        <v>0</v>
      </c>
      <c r="F204" s="18">
        <f>COUNTIF('261002'!$C$18:$C$47,$C204)+COUNTIF('261002'!$I$18:$I$47,$C204)</f>
        <v>0</v>
      </c>
      <c r="G204" s="18">
        <f>COUNTIF('261003'!$C$18:$C$47,$C204)+COUNTIF('261003'!$I$18:$I$47,$C204)</f>
        <v>0</v>
      </c>
      <c r="H204" s="18">
        <f>COUNTIF('261004'!$C$18:$C$47,$C204)+COUNTIF('261004'!$I$18:$I$47,$C204)</f>
        <v>0</v>
      </c>
      <c r="I204" s="18">
        <f>COUNTIF('261005'!$C$18:$C$47,$C204)+COUNTIF('261005'!$I$18:$I$47,$C204)</f>
        <v>0</v>
      </c>
      <c r="J204" s="18">
        <f>COUNTIF('261006'!$C$18:$C$47,$C204)+COUNTIF('261006'!$I$18:$I$47,$C204)</f>
        <v>0</v>
      </c>
      <c r="K204" s="18">
        <f>COUNTIF('261007'!$C$18:$C$47,$C204)+COUNTIF('261007'!$I$18:$I$47,$C204)</f>
        <v>0</v>
      </c>
      <c r="L204" s="18">
        <f>COUNTIF('261008'!$C$18:$C$47,$C204)+COUNTIF('261008'!$I$18:$I$47,$C204)</f>
        <v>0</v>
      </c>
      <c r="M204" s="18">
        <f>COUNTIF('261009'!$C$18:$C$47,$C204)+COUNTIF('261009'!$I$18:$I$47,$C204)</f>
        <v>0</v>
      </c>
      <c r="N204" s="18">
        <f>COUNTIF('261010'!$C$18:$C$47,$C204)+COUNTIF('261010'!$I$18:$I$47,$C204)</f>
        <v>0</v>
      </c>
      <c r="O204" s="18">
        <f>COUNTIF('261011'!$C$18:$C$47,$C204)+COUNTIF('261011'!$I$18:$I$47,$C204)</f>
        <v>0</v>
      </c>
      <c r="P204" s="18">
        <f>COUNTIF('261012'!$C$18:$C$47,$C204)+COUNTIF('261012'!$I$18:$I$47,$C204)</f>
        <v>0</v>
      </c>
      <c r="Q204" s="18">
        <f>COUNTIF('261013'!$C$18:$C$47,$C204)+COUNTIF('261013'!$I$18:$I$47,$C204)</f>
        <v>0</v>
      </c>
      <c r="R204" s="18">
        <f>COUNTIF('261014'!$C$18:$C$47,$C204)+COUNTIF('261014'!$I$18:$I$47,$C204)</f>
        <v>0</v>
      </c>
      <c r="S204" s="18">
        <f>COUNTIF('261015'!$C$18:$C$47,$C204)+COUNTIF('261015'!$I$18:$I$47,$C204)</f>
        <v>0</v>
      </c>
      <c r="T204" s="18">
        <f>COUNTIF('261016'!$C$18:$C$47,$C204)+COUNTIF('261016'!$I$18:$I$47,$C204)</f>
        <v>0</v>
      </c>
      <c r="U204" s="18">
        <f>COUNTIF('261017'!$C$18:$C$47,$C204)+COUNTIF('261017'!$I$18:$I$47,$C204)</f>
        <v>0</v>
      </c>
      <c r="V204" s="18">
        <f>COUNTIF('261018'!$C$18:$C$47,$C204)+COUNTIF('261018'!$I$18:$I$47,$C204)</f>
        <v>0</v>
      </c>
      <c r="W204" s="18">
        <f>COUNTIF('261019'!$C$18:$C$47,$C204)+COUNTIF('261019'!$I$18:$I$47,$C204)</f>
        <v>0</v>
      </c>
      <c r="X204" s="18">
        <f>COUNTIF('261020'!$C$18:$C$47,$C204)+COUNTIF('261020'!$I$18:$I$47,$C204)</f>
        <v>0</v>
      </c>
      <c r="Y204" s="18">
        <f>COUNTIF('261021'!$C$18:$C$47,$C204)+COUNTIF('261021'!$I$18:$I$47,$C204)</f>
        <v>0</v>
      </c>
      <c r="Z204" s="18">
        <f>COUNTIF('261022'!$C$18:$C$47,$C204)+COUNTIF('261022'!$I$18:$I$47,$C204)</f>
        <v>0</v>
      </c>
      <c r="AA204" s="18">
        <f>COUNTIF('261023'!$C$18:$C$47,$C204)+COUNTIF('261023'!$I$18:$I$47,$C204)</f>
        <v>0</v>
      </c>
      <c r="AB204" s="18">
        <f>COUNTIF('261024'!$C$18:$C$47,$C204)+COUNTIF('261024'!$I$18:$I$47,$C204)</f>
        <v>0</v>
      </c>
      <c r="AC204" s="18">
        <f>COUNTIF('261025'!$C$18:$C$47,$C204)+COUNTIF('261025'!$I$18:$I$47,$C204)</f>
        <v>0</v>
      </c>
      <c r="AD204" s="18">
        <f>COUNTIF('261026'!$C$18:$C$47,$C204)+COUNTIF('261026'!$I$18:$I$47,$C204)</f>
        <v>0</v>
      </c>
      <c r="AE204" s="18">
        <f>COUNTIF('261027'!$C$18:$C$47,$C204)+COUNTIF('261027'!$I$18:$I$47,$C204)</f>
        <v>0</v>
      </c>
      <c r="AF204" s="18">
        <f>COUNTIF('261028'!$C$18:$C$47,$C204)+COUNTIF('261028'!$I$18:$I$47,$C204)</f>
        <v>0</v>
      </c>
      <c r="AG204" s="18">
        <f>COUNTIF('261029'!$C$18:$C$47,$C204)+COUNTIF('261029'!$I$18:$I$47,$C204)</f>
        <v>0</v>
      </c>
      <c r="AH204" s="18">
        <f>COUNTIF('261030'!$C$18:$C$47,$C204)+COUNTIF('261030'!$I$18:$I$47,$C204)</f>
        <v>0</v>
      </c>
      <c r="AI204" s="18">
        <f>COUNTIF('261031'!$C$18:$C$47,$C204)+COUNTIF('261031'!$I$18:$I$47,$C204)</f>
        <v>0</v>
      </c>
      <c r="AJ204" s="25">
        <f>SUM(E204:AI204)</f>
        <v>0</v>
      </c>
    </row>
    <row r="205" spans="2:36" ht="20.100000000000001" customHeight="1" x14ac:dyDescent="0.3">
      <c r="B205" s="132" t="s">
        <v>18</v>
      </c>
      <c r="C205" s="132"/>
      <c r="D205" s="132"/>
      <c r="E205" s="26">
        <f t="shared" ref="E205:AI205" si="10">SUM(E5:E204)</f>
        <v>0</v>
      </c>
      <c r="F205" s="26">
        <f t="shared" si="10"/>
        <v>0</v>
      </c>
      <c r="G205" s="26">
        <f t="shared" si="10"/>
        <v>0</v>
      </c>
      <c r="H205" s="26">
        <f t="shared" si="10"/>
        <v>0</v>
      </c>
      <c r="I205" s="26">
        <f t="shared" si="10"/>
        <v>0</v>
      </c>
      <c r="J205" s="26">
        <f t="shared" si="10"/>
        <v>0</v>
      </c>
      <c r="K205" s="26">
        <f t="shared" si="10"/>
        <v>0</v>
      </c>
      <c r="L205" s="26">
        <f t="shared" si="10"/>
        <v>0</v>
      </c>
      <c r="M205" s="26">
        <f t="shared" si="10"/>
        <v>0</v>
      </c>
      <c r="N205" s="26">
        <f t="shared" si="10"/>
        <v>0</v>
      </c>
      <c r="O205" s="26">
        <f t="shared" si="10"/>
        <v>0</v>
      </c>
      <c r="P205" s="26">
        <f t="shared" si="10"/>
        <v>0</v>
      </c>
      <c r="Q205" s="26">
        <f t="shared" si="10"/>
        <v>0</v>
      </c>
      <c r="R205" s="26">
        <f t="shared" si="10"/>
        <v>0</v>
      </c>
      <c r="S205" s="26">
        <f t="shared" si="10"/>
        <v>0</v>
      </c>
      <c r="T205" s="26">
        <f t="shared" si="10"/>
        <v>0</v>
      </c>
      <c r="U205" s="26">
        <f t="shared" si="10"/>
        <v>0</v>
      </c>
      <c r="V205" s="26">
        <f t="shared" si="10"/>
        <v>0</v>
      </c>
      <c r="W205" s="26">
        <f t="shared" si="10"/>
        <v>0</v>
      </c>
      <c r="X205" s="26">
        <f t="shared" si="10"/>
        <v>0</v>
      </c>
      <c r="Y205" s="26">
        <f t="shared" si="10"/>
        <v>0</v>
      </c>
      <c r="Z205" s="26">
        <f t="shared" si="10"/>
        <v>0</v>
      </c>
      <c r="AA205" s="26">
        <f t="shared" si="10"/>
        <v>0</v>
      </c>
      <c r="AB205" s="26">
        <f t="shared" si="10"/>
        <v>0</v>
      </c>
      <c r="AC205" s="26">
        <f t="shared" si="10"/>
        <v>0</v>
      </c>
      <c r="AD205" s="26">
        <f t="shared" si="10"/>
        <v>0</v>
      </c>
      <c r="AE205" s="26">
        <f t="shared" si="10"/>
        <v>0</v>
      </c>
      <c r="AF205" s="26">
        <f t="shared" si="10"/>
        <v>0</v>
      </c>
      <c r="AG205" s="26">
        <f t="shared" si="10"/>
        <v>0</v>
      </c>
      <c r="AH205" s="26">
        <f t="shared" si="10"/>
        <v>0</v>
      </c>
      <c r="AI205" s="26">
        <f t="shared" si="10"/>
        <v>0</v>
      </c>
      <c r="AJ205" s="23">
        <f>SUM(E205:AI205)</f>
        <v>0</v>
      </c>
    </row>
    <row r="206" spans="2:36" ht="20.100000000000001" customHeight="1" x14ac:dyDescent="0.3">
      <c r="B206" s="132" t="s">
        <v>17</v>
      </c>
      <c r="C206" s="132"/>
      <c r="D206" s="132"/>
      <c r="E206" s="26">
        <f>E205</f>
        <v>0</v>
      </c>
      <c r="F206" s="26">
        <f>E206+F205</f>
        <v>0</v>
      </c>
      <c r="G206" s="26">
        <f t="shared" ref="G206:AI206" si="11">F206+G205</f>
        <v>0</v>
      </c>
      <c r="H206" s="26">
        <f t="shared" si="11"/>
        <v>0</v>
      </c>
      <c r="I206" s="26">
        <f t="shared" si="11"/>
        <v>0</v>
      </c>
      <c r="J206" s="26">
        <f t="shared" si="11"/>
        <v>0</v>
      </c>
      <c r="K206" s="26">
        <f t="shared" si="11"/>
        <v>0</v>
      </c>
      <c r="L206" s="26">
        <f t="shared" si="11"/>
        <v>0</v>
      </c>
      <c r="M206" s="26">
        <f t="shared" si="11"/>
        <v>0</v>
      </c>
      <c r="N206" s="26">
        <f t="shared" si="11"/>
        <v>0</v>
      </c>
      <c r="O206" s="26">
        <f t="shared" si="11"/>
        <v>0</v>
      </c>
      <c r="P206" s="26">
        <f t="shared" si="11"/>
        <v>0</v>
      </c>
      <c r="Q206" s="26">
        <f t="shared" si="11"/>
        <v>0</v>
      </c>
      <c r="R206" s="26">
        <f t="shared" si="11"/>
        <v>0</v>
      </c>
      <c r="S206" s="26">
        <f t="shared" si="11"/>
        <v>0</v>
      </c>
      <c r="T206" s="26">
        <f t="shared" si="11"/>
        <v>0</v>
      </c>
      <c r="U206" s="26">
        <f t="shared" si="11"/>
        <v>0</v>
      </c>
      <c r="V206" s="26">
        <f t="shared" si="11"/>
        <v>0</v>
      </c>
      <c r="W206" s="26">
        <f t="shared" si="11"/>
        <v>0</v>
      </c>
      <c r="X206" s="26">
        <f t="shared" si="11"/>
        <v>0</v>
      </c>
      <c r="Y206" s="26">
        <f t="shared" si="11"/>
        <v>0</v>
      </c>
      <c r="Z206" s="26">
        <f t="shared" si="11"/>
        <v>0</v>
      </c>
      <c r="AA206" s="26">
        <f t="shared" si="11"/>
        <v>0</v>
      </c>
      <c r="AB206" s="26">
        <f t="shared" si="11"/>
        <v>0</v>
      </c>
      <c r="AC206" s="26">
        <f t="shared" si="11"/>
        <v>0</v>
      </c>
      <c r="AD206" s="26">
        <f t="shared" si="11"/>
        <v>0</v>
      </c>
      <c r="AE206" s="26">
        <f t="shared" si="11"/>
        <v>0</v>
      </c>
      <c r="AF206" s="26">
        <f t="shared" si="11"/>
        <v>0</v>
      </c>
      <c r="AG206" s="26">
        <f t="shared" si="11"/>
        <v>0</v>
      </c>
      <c r="AH206" s="26">
        <f t="shared" si="11"/>
        <v>0</v>
      </c>
      <c r="AI206" s="26">
        <f t="shared" si="11"/>
        <v>0</v>
      </c>
      <c r="AJ206" s="23">
        <f>AI206</f>
        <v>0</v>
      </c>
    </row>
  </sheetData>
  <mergeCells count="9">
    <mergeCell ref="B206:D206"/>
    <mergeCell ref="B205:D205"/>
    <mergeCell ref="E2:U2"/>
    <mergeCell ref="V2:AJ2"/>
    <mergeCell ref="E3:AJ3"/>
    <mergeCell ref="B3:B4"/>
    <mergeCell ref="C3:C4"/>
    <mergeCell ref="D3:D4"/>
    <mergeCell ref="B2:C2"/>
  </mergeCells>
  <phoneticPr fontId="3" type="noConversion"/>
  <conditionalFormatting sqref="E4:AI4">
    <cfRule type="expression" dxfId="1" priority="1">
      <formula>WEEKDAY(E$4,1)=7</formula>
    </cfRule>
    <cfRule type="expression" dxfId="0" priority="2">
      <formula>WEEKDAY(E$4,1)=1</formula>
    </cfRule>
  </conditionalFormatting>
  <pageMargins left="0.70866141732283472" right="0.70866141732283472" top="0.74803149606299213" bottom="0.74803149606299213" header="0.31496062992125984" footer="0.31496062992125984"/>
  <pageSetup paperSize="9"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시트이름_기준월_동시변경">
                <anchor moveWithCells="1" sizeWithCells="1">
                  <from>
                    <xdr:col>38</xdr:col>
                    <xdr:colOff>0</xdr:colOff>
                    <xdr:row>7</xdr:row>
                    <xdr:rowOff>9525</xdr:rowOff>
                  </from>
                  <to>
                    <xdr:col>41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수집">
                <anchor moveWithCells="1" sizeWithCells="1">
                  <from>
                    <xdr:col>38</xdr:col>
                    <xdr:colOff>0</xdr:colOff>
                    <xdr:row>10</xdr:row>
                    <xdr:rowOff>0</xdr:rowOff>
                  </from>
                  <to>
                    <xdr:col>41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19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노임검토!V2</f>
        <v>46296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">
        <v>10</v>
      </c>
      <c r="C8" s="147">
        <f t="shared" ref="C8:C14" si="0">COUNTIF($B$18:$B$47,$B8)+COUNTIF($H$18:$H$47,$B8)</f>
        <v>0</v>
      </c>
      <c r="D8" s="147"/>
      <c r="E8" s="43"/>
      <c r="F8" s="42">
        <f t="shared" ref="F8:F13" si="1">C8+E8</f>
        <v>0</v>
      </c>
      <c r="G8" s="7">
        <v>8</v>
      </c>
      <c r="H8" s="64" t="s">
        <v>35</v>
      </c>
      <c r="I8" s="147">
        <f t="shared" ref="I8:I14" si="2">COUNTIF($B$18:$B$47,$H8)+COUNTIF($H$18:$H$47,$H8)</f>
        <v>0</v>
      </c>
      <c r="J8" s="147"/>
      <c r="K8" s="42"/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29" t="s">
        <v>30</v>
      </c>
      <c r="C9" s="142">
        <f t="shared" si="0"/>
        <v>0</v>
      </c>
      <c r="D9" s="142"/>
      <c r="E9" s="38"/>
      <c r="F9" s="34">
        <f t="shared" si="1"/>
        <v>0</v>
      </c>
      <c r="G9" s="4">
        <f>G8+1</f>
        <v>9</v>
      </c>
      <c r="H9" s="32" t="s">
        <v>34</v>
      </c>
      <c r="I9" s="142">
        <f t="shared" si="2"/>
        <v>0</v>
      </c>
      <c r="J9" s="142"/>
      <c r="K9" s="34"/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29" t="s">
        <v>29</v>
      </c>
      <c r="C10" s="142">
        <f t="shared" si="0"/>
        <v>0</v>
      </c>
      <c r="D10" s="142"/>
      <c r="E10" s="38"/>
      <c r="F10" s="34">
        <f t="shared" si="1"/>
        <v>0</v>
      </c>
      <c r="G10" s="4">
        <f t="shared" ref="G10:G14" si="5">G9+1</f>
        <v>10</v>
      </c>
      <c r="H10" s="32" t="s">
        <v>37</v>
      </c>
      <c r="I10" s="142">
        <f t="shared" si="2"/>
        <v>0</v>
      </c>
      <c r="J10" s="142"/>
      <c r="K10" s="34"/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29" t="s">
        <v>31</v>
      </c>
      <c r="C11" s="142">
        <f t="shared" si="0"/>
        <v>0</v>
      </c>
      <c r="D11" s="142"/>
      <c r="E11" s="38"/>
      <c r="F11" s="34">
        <f t="shared" si="1"/>
        <v>0</v>
      </c>
      <c r="G11" s="4">
        <f t="shared" si="5"/>
        <v>11</v>
      </c>
      <c r="H11" s="32" t="s">
        <v>39</v>
      </c>
      <c r="I11" s="142">
        <f t="shared" si="2"/>
        <v>0</v>
      </c>
      <c r="J11" s="142"/>
      <c r="K11" s="34"/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29" t="s">
        <v>36</v>
      </c>
      <c r="C12" s="142">
        <f t="shared" si="0"/>
        <v>0</v>
      </c>
      <c r="D12" s="142"/>
      <c r="E12" s="38"/>
      <c r="F12" s="34">
        <f t="shared" si="1"/>
        <v>0</v>
      </c>
      <c r="G12" s="4">
        <f t="shared" si="5"/>
        <v>12</v>
      </c>
      <c r="H12" s="32" t="s">
        <v>40</v>
      </c>
      <c r="I12" s="142">
        <f t="shared" si="2"/>
        <v>0</v>
      </c>
      <c r="J12" s="142"/>
      <c r="K12" s="34"/>
      <c r="L12" s="34">
        <f t="shared" si="3"/>
        <v>0</v>
      </c>
    </row>
    <row r="13" spans="1:14" ht="21.95" customHeight="1" x14ac:dyDescent="0.3">
      <c r="A13" s="100">
        <f t="shared" si="4"/>
        <v>6</v>
      </c>
      <c r="B13" s="96" t="s">
        <v>32</v>
      </c>
      <c r="C13" s="151">
        <f t="shared" si="0"/>
        <v>0</v>
      </c>
      <c r="D13" s="151"/>
      <c r="E13" s="98"/>
      <c r="F13" s="97">
        <f t="shared" si="1"/>
        <v>0</v>
      </c>
      <c r="G13" s="100">
        <f t="shared" si="5"/>
        <v>13</v>
      </c>
      <c r="H13" s="101"/>
      <c r="I13" s="151">
        <f t="shared" si="2"/>
        <v>0</v>
      </c>
      <c r="J13" s="151"/>
      <c r="K13" s="97"/>
      <c r="L13" s="97">
        <f t="shared" si="3"/>
        <v>0</v>
      </c>
    </row>
    <row r="14" spans="1:14" ht="21.95" customHeight="1" x14ac:dyDescent="0.3">
      <c r="A14" s="5">
        <f t="shared" si="4"/>
        <v>7</v>
      </c>
      <c r="B14" s="30" t="s">
        <v>33</v>
      </c>
      <c r="C14" s="150">
        <f t="shared" si="0"/>
        <v>0</v>
      </c>
      <c r="D14" s="150"/>
      <c r="E14" s="39"/>
      <c r="F14" s="40">
        <f t="shared" ref="F14" si="6">C14+E14</f>
        <v>0</v>
      </c>
      <c r="G14" s="5">
        <f t="shared" si="5"/>
        <v>14</v>
      </c>
      <c r="H14" s="33"/>
      <c r="I14" s="150">
        <f t="shared" si="2"/>
        <v>0</v>
      </c>
      <c r="J14" s="150"/>
      <c r="K14" s="40"/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58"/>
      <c r="G20" s="11">
        <f t="shared" ref="G20:G47" si="9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125"/>
      <c r="G21" s="11">
        <f t="shared" si="9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125"/>
      <c r="G22" s="11">
        <f t="shared" si="9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125"/>
      <c r="G23" s="11">
        <f t="shared" si="9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58"/>
      <c r="G24" s="11">
        <f t="shared" si="9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58"/>
      <c r="G25" s="11">
        <f t="shared" si="9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v>9</v>
      </c>
      <c r="B26" s="56"/>
      <c r="C26" s="56"/>
      <c r="D26" s="56"/>
      <c r="E26" s="58"/>
      <c r="F26" s="58"/>
      <c r="G26" s="11">
        <f t="shared" si="9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8"/>
        <v>10</v>
      </c>
      <c r="B27" s="56"/>
      <c r="C27" s="56"/>
      <c r="D27" s="56"/>
      <c r="E27" s="58"/>
      <c r="F27" s="58"/>
      <c r="G27" s="11">
        <f t="shared" si="9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8"/>
        <v>11</v>
      </c>
      <c r="B28" s="56"/>
      <c r="C28" s="56"/>
      <c r="D28" s="56"/>
      <c r="E28" s="58"/>
      <c r="F28" s="58"/>
      <c r="G28" s="11">
        <f t="shared" si="9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8"/>
        <v>12</v>
      </c>
      <c r="B29" s="56"/>
      <c r="C29" s="56"/>
      <c r="D29" s="56"/>
      <c r="E29" s="58"/>
      <c r="F29" s="58"/>
      <c r="G29" s="11">
        <f t="shared" si="9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58"/>
      <c r="G30" s="11">
        <f t="shared" si="9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8"/>
        <v>14</v>
      </c>
      <c r="B31" s="59"/>
      <c r="C31" s="59"/>
      <c r="D31" s="59"/>
      <c r="E31" s="119"/>
      <c r="F31" s="125"/>
      <c r="G31" s="11">
        <f t="shared" si="9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116"/>
      <c r="G32" s="11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0">A32+1</f>
        <v>16</v>
      </c>
      <c r="B33" s="56"/>
      <c r="C33" s="56"/>
      <c r="D33" s="56"/>
      <c r="E33" s="58"/>
      <c r="F33" s="116"/>
      <c r="G33" s="11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56"/>
      <c r="C34" s="56"/>
      <c r="D34" s="56"/>
      <c r="E34" s="58"/>
      <c r="F34" s="58"/>
      <c r="G34" s="11">
        <f t="shared" si="9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10"/>
        <v>18</v>
      </c>
      <c r="B35" s="56"/>
      <c r="C35" s="56"/>
      <c r="D35" s="56"/>
      <c r="E35" s="58"/>
      <c r="F35" s="58"/>
      <c r="G35" s="11">
        <f t="shared" si="9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10"/>
        <v>19</v>
      </c>
      <c r="B36" s="56"/>
      <c r="C36" s="56"/>
      <c r="D36" s="56"/>
      <c r="E36" s="58"/>
      <c r="F36" s="61"/>
      <c r="G36" s="11">
        <f t="shared" si="9"/>
        <v>49</v>
      </c>
      <c r="H36" s="59"/>
      <c r="I36" s="59"/>
      <c r="J36" s="59"/>
      <c r="K36" s="58"/>
      <c r="L36" s="125"/>
    </row>
    <row r="37" spans="1:12" ht="20.45" customHeight="1" x14ac:dyDescent="0.3">
      <c r="A37" s="10">
        <f t="shared" si="10"/>
        <v>20</v>
      </c>
      <c r="B37" s="56"/>
      <c r="C37" s="56"/>
      <c r="D37" s="56"/>
      <c r="E37" s="58"/>
      <c r="F37" s="61"/>
      <c r="G37" s="11">
        <f t="shared" si="9"/>
        <v>50</v>
      </c>
      <c r="H37" s="56"/>
      <c r="I37" s="56"/>
      <c r="J37" s="56"/>
      <c r="K37" s="58"/>
      <c r="L37" s="61"/>
    </row>
    <row r="38" spans="1:12" ht="20.45" customHeight="1" x14ac:dyDescent="0.3">
      <c r="A38" s="10">
        <f t="shared" si="10"/>
        <v>21</v>
      </c>
      <c r="B38" s="59"/>
      <c r="C38" s="59"/>
      <c r="D38" s="59"/>
      <c r="E38" s="58"/>
      <c r="F38" s="125"/>
      <c r="G38" s="11">
        <f t="shared" si="9"/>
        <v>51</v>
      </c>
      <c r="H38" s="56"/>
      <c r="I38" s="56"/>
      <c r="J38" s="56"/>
      <c r="K38" s="58"/>
      <c r="L38" s="61"/>
    </row>
    <row r="39" spans="1:12" ht="20.45" customHeight="1" x14ac:dyDescent="0.3">
      <c r="A39" s="10">
        <f t="shared" si="10"/>
        <v>22</v>
      </c>
      <c r="B39" s="56"/>
      <c r="C39" s="56"/>
      <c r="D39" s="56"/>
      <c r="E39" s="58"/>
      <c r="F39" s="116"/>
      <c r="G39" s="11">
        <f t="shared" si="9"/>
        <v>52</v>
      </c>
      <c r="H39" s="56"/>
      <c r="I39" s="56"/>
      <c r="J39" s="56"/>
      <c r="K39" s="58"/>
      <c r="L39" s="61"/>
    </row>
    <row r="40" spans="1:12" ht="20.45" customHeight="1" x14ac:dyDescent="0.3">
      <c r="A40" s="10">
        <f t="shared" si="10"/>
        <v>23</v>
      </c>
      <c r="B40" s="56"/>
      <c r="C40" s="56"/>
      <c r="D40" s="56"/>
      <c r="E40" s="58"/>
      <c r="F40" s="116"/>
      <c r="G40" s="11">
        <f t="shared" si="9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0"/>
        <v>24</v>
      </c>
      <c r="B41" s="56"/>
      <c r="C41" s="56"/>
      <c r="D41" s="56"/>
      <c r="E41" s="58"/>
      <c r="F41" s="116"/>
      <c r="G41" s="11">
        <f t="shared" si="9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58"/>
      <c r="G42" s="11">
        <f t="shared" si="9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58"/>
      <c r="G43" s="11">
        <f t="shared" si="9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58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58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58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17">
        <f t="shared" si="10"/>
        <v>30</v>
      </c>
      <c r="B47" s="112"/>
      <c r="C47" s="112"/>
      <c r="D47" s="112"/>
      <c r="E47" s="113"/>
      <c r="F47" s="113"/>
      <c r="G47" s="121">
        <f t="shared" si="9"/>
        <v>60</v>
      </c>
      <c r="H47" s="122"/>
      <c r="I47" s="122"/>
      <c r="J47" s="122"/>
      <c r="K47" s="123"/>
      <c r="L47" s="124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6:F30">
    <sortCondition ref="E26:E30"/>
  </sortState>
  <mergeCells count="32">
    <mergeCell ref="K2:K5"/>
    <mergeCell ref="L2:L5"/>
    <mergeCell ref="I13:J13"/>
    <mergeCell ref="A1:F2"/>
    <mergeCell ref="A3:B3"/>
    <mergeCell ref="A4:B4"/>
    <mergeCell ref="A5:B5"/>
    <mergeCell ref="C3:F3"/>
    <mergeCell ref="C4:F4"/>
    <mergeCell ref="C5:F5"/>
    <mergeCell ref="G1:H1"/>
    <mergeCell ref="C9:D9"/>
    <mergeCell ref="C13:D13"/>
    <mergeCell ref="C10:D10"/>
    <mergeCell ref="C11:D11"/>
    <mergeCell ref="C12:D12"/>
    <mergeCell ref="A16:L16"/>
    <mergeCell ref="I7:J7"/>
    <mergeCell ref="I8:J8"/>
    <mergeCell ref="G6:L6"/>
    <mergeCell ref="A6:F6"/>
    <mergeCell ref="C7:D7"/>
    <mergeCell ref="C8:D8"/>
    <mergeCell ref="C14:D14"/>
    <mergeCell ref="I14:J14"/>
    <mergeCell ref="I1:J1"/>
    <mergeCell ref="G2:H5"/>
    <mergeCell ref="I2:J5"/>
    <mergeCell ref="I9:J9"/>
    <mergeCell ref="I12:J12"/>
    <mergeCell ref="I10:J10"/>
    <mergeCell ref="I11:J11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E1248-65C5-45CD-9B48-C2E726FF275D}">
  <sheetPr codeName="Sheet3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'261001'!C5:F5+1</f>
        <v>46297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'261001'!F8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'261001'!L8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'261001'!F9</f>
        <v>0</v>
      </c>
      <c r="F9" s="34">
        <f t="shared" si="1"/>
        <v>0</v>
      </c>
      <c r="G9" s="4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'261001'!L9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'261001'!F10</f>
        <v>0</v>
      </c>
      <c r="F10" s="34">
        <f t="shared" si="1"/>
        <v>0</v>
      </c>
      <c r="G10" s="4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'261001'!L10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'261001'!F11</f>
        <v>0</v>
      </c>
      <c r="F11" s="34">
        <f t="shared" si="1"/>
        <v>0</v>
      </c>
      <c r="G11" s="4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'261001'!L11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'261001'!F12</f>
        <v>0</v>
      </c>
      <c r="F12" s="34">
        <f t="shared" si="1"/>
        <v>0</v>
      </c>
      <c r="G12" s="4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'261001'!L12</f>
        <v>0</v>
      </c>
      <c r="L12" s="34">
        <f t="shared" si="3"/>
        <v>0</v>
      </c>
    </row>
    <row r="13" spans="1:14" ht="21.95" customHeight="1" x14ac:dyDescent="0.3">
      <c r="A13" s="100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'261001'!F13</f>
        <v>0</v>
      </c>
      <c r="F13" s="34">
        <f t="shared" si="1"/>
        <v>0</v>
      </c>
      <c r="G13" s="4">
        <f t="shared" si="5"/>
        <v>13</v>
      </c>
      <c r="H13" s="32">
        <f>'261001'!H13</f>
        <v>0</v>
      </c>
      <c r="I13" s="142">
        <f t="shared" si="2"/>
        <v>0</v>
      </c>
      <c r="J13" s="142"/>
      <c r="K13" s="97">
        <f>'261001'!L13</f>
        <v>0</v>
      </c>
      <c r="L13" s="97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'261001'!F14</f>
        <v>0</v>
      </c>
      <c r="F14" s="40">
        <f t="shared" ref="F14" si="6">C14+E14</f>
        <v>0</v>
      </c>
      <c r="G14" s="5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'261001'!L14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58"/>
      <c r="G20" s="11">
        <f t="shared" ref="G20:G47" si="9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125"/>
      <c r="G21" s="11">
        <f t="shared" si="9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125"/>
      <c r="G22" s="11">
        <f t="shared" si="9"/>
        <v>35</v>
      </c>
      <c r="H22" s="56"/>
      <c r="I22" s="56"/>
      <c r="J22" s="56"/>
      <c r="K22" s="58"/>
      <c r="L22" s="58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125"/>
      <c r="G23" s="11">
        <f t="shared" si="9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58"/>
      <c r="G24" s="11">
        <f t="shared" si="9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58"/>
      <c r="G25" s="11">
        <f t="shared" si="9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8"/>
        <v>9</v>
      </c>
      <c r="B26" s="56"/>
      <c r="C26" s="56"/>
      <c r="D26" s="56"/>
      <c r="E26" s="58"/>
      <c r="F26" s="58"/>
      <c r="G26" s="11">
        <f t="shared" si="9"/>
        <v>39</v>
      </c>
      <c r="H26" s="56"/>
      <c r="I26" s="56"/>
      <c r="J26" s="56"/>
      <c r="K26" s="58"/>
      <c r="L26" s="58"/>
    </row>
    <row r="27" spans="1:12" ht="20.45" customHeight="1" x14ac:dyDescent="0.3">
      <c r="A27" s="10">
        <f t="shared" si="8"/>
        <v>10</v>
      </c>
      <c r="B27" s="56"/>
      <c r="C27" s="56"/>
      <c r="D27" s="56"/>
      <c r="E27" s="58"/>
      <c r="F27" s="58"/>
      <c r="G27" s="11">
        <f t="shared" si="9"/>
        <v>40</v>
      </c>
      <c r="H27" s="56"/>
      <c r="I27" s="56"/>
      <c r="J27" s="56"/>
      <c r="K27" s="58"/>
      <c r="L27" s="58"/>
    </row>
    <row r="28" spans="1:12" ht="20.45" customHeight="1" x14ac:dyDescent="0.3">
      <c r="A28" s="10">
        <f t="shared" si="8"/>
        <v>11</v>
      </c>
      <c r="B28" s="59"/>
      <c r="C28" s="59"/>
      <c r="D28" s="59"/>
      <c r="E28" s="119"/>
      <c r="F28" s="125"/>
      <c r="G28" s="11">
        <f t="shared" si="9"/>
        <v>41</v>
      </c>
      <c r="H28" s="56"/>
      <c r="I28" s="56"/>
      <c r="J28" s="56"/>
      <c r="K28" s="58"/>
      <c r="L28" s="58"/>
    </row>
    <row r="29" spans="1:12" ht="20.45" customHeight="1" x14ac:dyDescent="0.3">
      <c r="A29" s="10">
        <f t="shared" si="8"/>
        <v>12</v>
      </c>
      <c r="B29" s="56"/>
      <c r="C29" s="56"/>
      <c r="D29" s="56"/>
      <c r="E29" s="58"/>
      <c r="F29" s="58"/>
      <c r="G29" s="11">
        <f t="shared" si="9"/>
        <v>42</v>
      </c>
      <c r="H29" s="56"/>
      <c r="I29" s="56"/>
      <c r="J29" s="56"/>
      <c r="K29" s="58"/>
      <c r="L29" s="58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58"/>
      <c r="G30" s="11">
        <f t="shared" si="9"/>
        <v>43</v>
      </c>
      <c r="H30" s="56"/>
      <c r="I30" s="56"/>
      <c r="J30" s="56"/>
      <c r="K30" s="58"/>
      <c r="L30" s="58"/>
    </row>
    <row r="31" spans="1:12" ht="20.45" customHeight="1" x14ac:dyDescent="0.3">
      <c r="A31" s="10">
        <f t="shared" si="8"/>
        <v>14</v>
      </c>
      <c r="B31" s="59"/>
      <c r="C31" s="59"/>
      <c r="D31" s="59"/>
      <c r="E31" s="119"/>
      <c r="F31" s="125"/>
      <c r="G31" s="11">
        <f t="shared" si="9"/>
        <v>44</v>
      </c>
      <c r="H31" s="56"/>
      <c r="I31" s="56"/>
      <c r="J31" s="56"/>
      <c r="K31" s="58"/>
      <c r="L31" s="58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116"/>
      <c r="G32" s="11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0">A32+1</f>
        <v>16</v>
      </c>
      <c r="B33" s="56"/>
      <c r="C33" s="56"/>
      <c r="D33" s="56"/>
      <c r="E33" s="58"/>
      <c r="F33" s="116"/>
      <c r="G33" s="11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59"/>
      <c r="C34" s="59"/>
      <c r="D34" s="59"/>
      <c r="E34" s="119"/>
      <c r="F34" s="125"/>
      <c r="G34" s="11">
        <f t="shared" si="9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10"/>
        <v>18</v>
      </c>
      <c r="B35" s="56"/>
      <c r="C35" s="56"/>
      <c r="D35" s="56"/>
      <c r="E35" s="58"/>
      <c r="F35" s="116"/>
      <c r="G35" s="11">
        <f t="shared" si="9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10"/>
        <v>19</v>
      </c>
      <c r="B36" s="56"/>
      <c r="C36" s="56"/>
      <c r="D36" s="56"/>
      <c r="E36" s="58"/>
      <c r="F36" s="116"/>
      <c r="G36" s="11">
        <f t="shared" si="9"/>
        <v>49</v>
      </c>
      <c r="H36" s="56"/>
      <c r="I36" s="56"/>
      <c r="J36" s="56"/>
      <c r="K36" s="58"/>
      <c r="L36" s="61"/>
    </row>
    <row r="37" spans="1:12" ht="20.45" customHeight="1" x14ac:dyDescent="0.3">
      <c r="A37" s="10">
        <f t="shared" si="10"/>
        <v>20</v>
      </c>
      <c r="B37" s="56"/>
      <c r="C37" s="56"/>
      <c r="D37" s="56"/>
      <c r="E37" s="58"/>
      <c r="F37" s="58"/>
      <c r="G37" s="11">
        <f t="shared" si="9"/>
        <v>50</v>
      </c>
      <c r="H37" s="56"/>
      <c r="I37" s="56"/>
      <c r="J37" s="56"/>
      <c r="K37" s="46"/>
      <c r="L37" s="45"/>
    </row>
    <row r="38" spans="1:12" ht="20.45" customHeight="1" x14ac:dyDescent="0.3">
      <c r="A38" s="10">
        <f t="shared" si="10"/>
        <v>21</v>
      </c>
      <c r="B38" s="56"/>
      <c r="C38" s="56"/>
      <c r="D38" s="56"/>
      <c r="E38" s="58"/>
      <c r="F38" s="58"/>
      <c r="G38" s="11">
        <f t="shared" si="9"/>
        <v>51</v>
      </c>
      <c r="H38" s="56"/>
      <c r="I38" s="56"/>
      <c r="J38" s="56"/>
      <c r="K38" s="46"/>
      <c r="L38" s="45"/>
    </row>
    <row r="39" spans="1:12" ht="20.45" customHeight="1" x14ac:dyDescent="0.3">
      <c r="A39" s="10">
        <f t="shared" si="10"/>
        <v>22</v>
      </c>
      <c r="B39" s="56"/>
      <c r="C39" s="56"/>
      <c r="D39" s="56"/>
      <c r="E39" s="58"/>
      <c r="F39" s="61"/>
      <c r="G39" s="11">
        <f t="shared" si="9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10"/>
        <v>23</v>
      </c>
      <c r="B40" s="56"/>
      <c r="C40" s="56"/>
      <c r="D40" s="56"/>
      <c r="E40" s="58"/>
      <c r="F40" s="61"/>
      <c r="G40" s="11">
        <f t="shared" si="9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0"/>
        <v>24</v>
      </c>
      <c r="B41" s="59"/>
      <c r="C41" s="59"/>
      <c r="D41" s="59"/>
      <c r="E41" s="58"/>
      <c r="F41" s="125"/>
      <c r="G41" s="11">
        <f t="shared" si="9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116"/>
      <c r="G42" s="11">
        <f t="shared" si="9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116"/>
      <c r="G43" s="11">
        <f t="shared" si="9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116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58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58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0">
        <f t="shared" si="10"/>
        <v>30</v>
      </c>
      <c r="B47" s="56"/>
      <c r="C47" s="56"/>
      <c r="D47" s="56"/>
      <c r="E47" s="58"/>
      <c r="F47" s="58"/>
      <c r="G47" s="11">
        <f t="shared" si="9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6:F31">
    <sortCondition ref="E28:E31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5015F-8F22-455E-886D-6F495B35A4AD}">
  <sheetPr codeName="Sheet4">
    <tabColor rgb="FFFFFFFF"/>
  </sheetPr>
  <dimension ref="A1:Q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7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7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7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7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  <c r="Q4" s="1" t="s">
        <v>38</v>
      </c>
    </row>
    <row r="5" spans="1:17" ht="21.95" customHeight="1" x14ac:dyDescent="0.3">
      <c r="A5" s="157" t="s">
        <v>20</v>
      </c>
      <c r="B5" s="157"/>
      <c r="C5" s="160">
        <f>'261002'!C5:F5+1</f>
        <v>46298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7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7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7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'261002'!F8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'261002'!L8</f>
        <v>0</v>
      </c>
      <c r="L8" s="42">
        <f t="shared" ref="L8:L13" si="3">I8+K8</f>
        <v>0</v>
      </c>
    </row>
    <row r="9" spans="1:17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'261002'!F9</f>
        <v>0</v>
      </c>
      <c r="F9" s="34">
        <f t="shared" si="1"/>
        <v>0</v>
      </c>
      <c r="G9" s="4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'261002'!L9</f>
        <v>0</v>
      </c>
      <c r="L9" s="34">
        <f t="shared" si="3"/>
        <v>0</v>
      </c>
    </row>
    <row r="10" spans="1:17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'261002'!F10</f>
        <v>0</v>
      </c>
      <c r="F10" s="34">
        <f t="shared" si="1"/>
        <v>0</v>
      </c>
      <c r="G10" s="4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'261002'!L10</f>
        <v>0</v>
      </c>
      <c r="L10" s="34">
        <f t="shared" si="3"/>
        <v>0</v>
      </c>
    </row>
    <row r="11" spans="1:17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'261002'!F11</f>
        <v>0</v>
      </c>
      <c r="F11" s="34">
        <f t="shared" si="1"/>
        <v>0</v>
      </c>
      <c r="G11" s="4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'261002'!L11</f>
        <v>0</v>
      </c>
      <c r="L11" s="34">
        <f t="shared" si="3"/>
        <v>0</v>
      </c>
    </row>
    <row r="12" spans="1:17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'261002'!F12</f>
        <v>0</v>
      </c>
      <c r="F12" s="34">
        <f t="shared" si="1"/>
        <v>0</v>
      </c>
      <c r="G12" s="4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'261002'!L12</f>
        <v>0</v>
      </c>
      <c r="L12" s="34">
        <f t="shared" si="3"/>
        <v>0</v>
      </c>
    </row>
    <row r="13" spans="1:17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'261002'!F13</f>
        <v>0</v>
      </c>
      <c r="F13" s="34">
        <f t="shared" si="1"/>
        <v>0</v>
      </c>
      <c r="G13" s="4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'261002'!L13</f>
        <v>0</v>
      </c>
      <c r="L13" s="34">
        <f t="shared" si="3"/>
        <v>0</v>
      </c>
    </row>
    <row r="14" spans="1:17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'261002'!F14</f>
        <v>0</v>
      </c>
      <c r="F14" s="40">
        <f t="shared" ref="F14" si="6">C14+E14</f>
        <v>0</v>
      </c>
      <c r="G14" s="5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'261002'!L14</f>
        <v>0</v>
      </c>
      <c r="L14" s="40">
        <f t="shared" ref="L14" si="7">I14+K14</f>
        <v>0</v>
      </c>
    </row>
    <row r="15" spans="1:17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7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7" ht="24.95" customHeight="1" thickBot="1" x14ac:dyDescent="0.35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7" ht="20.45" customHeight="1" thickTop="1" thickBot="1" x14ac:dyDescent="0.35">
      <c r="A18" s="12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61"/>
      <c r="Q18" s="130"/>
    </row>
    <row r="19" spans="1:17" ht="20.45" customHeight="1" thickTop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61"/>
    </row>
    <row r="20" spans="1:17" ht="20.45" customHeight="1" x14ac:dyDescent="0.3">
      <c r="A20" s="10">
        <f t="shared" si="8"/>
        <v>3</v>
      </c>
      <c r="B20" s="56"/>
      <c r="C20" s="56"/>
      <c r="D20" s="56"/>
      <c r="E20" s="58"/>
      <c r="F20" s="58"/>
      <c r="G20" s="92">
        <f t="shared" ref="G20:G47" si="9">G19+1</f>
        <v>33</v>
      </c>
      <c r="H20" s="56"/>
      <c r="I20" s="56"/>
      <c r="J20" s="56"/>
      <c r="K20" s="58"/>
      <c r="L20" s="61"/>
    </row>
    <row r="21" spans="1:17" ht="20.45" customHeight="1" x14ac:dyDescent="0.3">
      <c r="A21" s="10">
        <f t="shared" si="8"/>
        <v>4</v>
      </c>
      <c r="B21" s="56"/>
      <c r="C21" s="56"/>
      <c r="D21" s="56"/>
      <c r="E21" s="58"/>
      <c r="F21" s="125"/>
      <c r="G21" s="92">
        <f t="shared" si="9"/>
        <v>34</v>
      </c>
      <c r="H21" s="56"/>
      <c r="I21" s="56"/>
      <c r="J21" s="56"/>
      <c r="K21" s="58"/>
      <c r="L21" s="61"/>
    </row>
    <row r="22" spans="1:17" ht="20.45" customHeight="1" x14ac:dyDescent="0.3">
      <c r="A22" s="10">
        <f t="shared" si="8"/>
        <v>5</v>
      </c>
      <c r="B22" s="56"/>
      <c r="C22" s="56"/>
      <c r="D22" s="56"/>
      <c r="E22" s="58"/>
      <c r="F22" s="125"/>
      <c r="G22" s="92">
        <f t="shared" si="9"/>
        <v>35</v>
      </c>
      <c r="H22" s="56"/>
      <c r="I22" s="56"/>
      <c r="J22" s="56"/>
      <c r="K22" s="58"/>
      <c r="L22" s="61"/>
    </row>
    <row r="23" spans="1:17" ht="20.45" customHeight="1" x14ac:dyDescent="0.3">
      <c r="A23" s="10">
        <f t="shared" si="8"/>
        <v>6</v>
      </c>
      <c r="B23" s="56"/>
      <c r="C23" s="56"/>
      <c r="D23" s="56"/>
      <c r="E23" s="58"/>
      <c r="F23" s="58"/>
      <c r="G23" s="92">
        <f t="shared" si="9"/>
        <v>36</v>
      </c>
      <c r="H23" s="56"/>
      <c r="I23" s="56"/>
      <c r="J23" s="56"/>
      <c r="K23" s="58"/>
      <c r="L23" s="61"/>
    </row>
    <row r="24" spans="1:17" ht="20.45" customHeight="1" x14ac:dyDescent="0.3">
      <c r="A24" s="10">
        <f t="shared" si="8"/>
        <v>7</v>
      </c>
      <c r="B24" s="56"/>
      <c r="C24" s="56"/>
      <c r="D24" s="56"/>
      <c r="E24" s="58"/>
      <c r="F24" s="58"/>
      <c r="G24" s="92">
        <f t="shared" si="9"/>
        <v>37</v>
      </c>
      <c r="H24" s="56"/>
      <c r="I24" s="56"/>
      <c r="J24" s="56"/>
      <c r="K24" s="58"/>
      <c r="L24" s="61"/>
    </row>
    <row r="25" spans="1:17" ht="20.45" customHeight="1" x14ac:dyDescent="0.3">
      <c r="A25" s="10">
        <f t="shared" si="8"/>
        <v>8</v>
      </c>
      <c r="B25" s="56"/>
      <c r="C25" s="56"/>
      <c r="D25" s="56"/>
      <c r="E25" s="58"/>
      <c r="F25" s="58"/>
      <c r="G25" s="92">
        <f t="shared" si="9"/>
        <v>38</v>
      </c>
      <c r="H25" s="56"/>
      <c r="I25" s="56"/>
      <c r="J25" s="56"/>
      <c r="K25" s="58"/>
      <c r="L25" s="61"/>
    </row>
    <row r="26" spans="1:17" ht="20.45" customHeight="1" x14ac:dyDescent="0.3">
      <c r="A26" s="10">
        <f>A25+1</f>
        <v>9</v>
      </c>
      <c r="B26" s="56"/>
      <c r="C26" s="56"/>
      <c r="D26" s="56"/>
      <c r="E26" s="58"/>
      <c r="F26" s="58"/>
      <c r="G26" s="92">
        <f>G25+1</f>
        <v>39</v>
      </c>
      <c r="H26" s="56"/>
      <c r="I26" s="56"/>
      <c r="J26" s="56"/>
      <c r="K26" s="58"/>
      <c r="L26" s="61"/>
    </row>
    <row r="27" spans="1:17" ht="20.45" customHeight="1" x14ac:dyDescent="0.3">
      <c r="A27" s="10">
        <f t="shared" si="8"/>
        <v>10</v>
      </c>
      <c r="B27" s="56"/>
      <c r="C27" s="56"/>
      <c r="D27" s="56"/>
      <c r="E27" s="58"/>
      <c r="F27" s="58"/>
      <c r="G27" s="92">
        <f t="shared" si="9"/>
        <v>40</v>
      </c>
      <c r="H27" s="56"/>
      <c r="I27" s="56"/>
      <c r="J27" s="56"/>
      <c r="K27" s="58"/>
      <c r="L27" s="61"/>
    </row>
    <row r="28" spans="1:17" ht="20.45" customHeight="1" x14ac:dyDescent="0.3">
      <c r="A28" s="10">
        <f t="shared" si="8"/>
        <v>11</v>
      </c>
      <c r="B28" s="59"/>
      <c r="C28" s="59"/>
      <c r="D28" s="59"/>
      <c r="E28" s="119"/>
      <c r="F28" s="125"/>
      <c r="G28" s="92">
        <f t="shared" si="9"/>
        <v>41</v>
      </c>
      <c r="H28" s="56"/>
      <c r="I28" s="56"/>
      <c r="J28" s="56"/>
      <c r="K28" s="58"/>
      <c r="L28" s="61"/>
    </row>
    <row r="29" spans="1:17" ht="20.45" customHeight="1" x14ac:dyDescent="0.3">
      <c r="A29" s="10">
        <f t="shared" si="8"/>
        <v>12</v>
      </c>
      <c r="B29" s="56"/>
      <c r="C29" s="56"/>
      <c r="D29" s="56"/>
      <c r="E29" s="58"/>
      <c r="F29" s="58"/>
      <c r="G29" s="92">
        <f t="shared" si="9"/>
        <v>42</v>
      </c>
      <c r="H29" s="56"/>
      <c r="I29" s="56"/>
      <c r="J29" s="56"/>
      <c r="K29" s="58"/>
      <c r="L29" s="61"/>
    </row>
    <row r="30" spans="1:17" ht="20.45" customHeight="1" x14ac:dyDescent="0.3">
      <c r="A30" s="10">
        <f t="shared" si="8"/>
        <v>13</v>
      </c>
      <c r="B30" s="56"/>
      <c r="C30" s="56"/>
      <c r="D30" s="56"/>
      <c r="E30" s="58"/>
      <c r="F30" s="58"/>
      <c r="G30" s="92">
        <f t="shared" si="9"/>
        <v>43</v>
      </c>
      <c r="H30" s="56"/>
      <c r="I30" s="56"/>
      <c r="J30" s="56"/>
      <c r="K30" s="58"/>
      <c r="L30" s="61"/>
    </row>
    <row r="31" spans="1:17" ht="20.45" customHeight="1" x14ac:dyDescent="0.3">
      <c r="A31" s="10">
        <f t="shared" si="8"/>
        <v>14</v>
      </c>
      <c r="B31" s="56"/>
      <c r="C31" s="56"/>
      <c r="D31" s="56"/>
      <c r="E31" s="58"/>
      <c r="F31" s="61"/>
      <c r="G31" s="92">
        <f t="shared" si="9"/>
        <v>44</v>
      </c>
      <c r="H31" s="56"/>
      <c r="I31" s="56"/>
      <c r="J31" s="56"/>
      <c r="K31" s="58"/>
      <c r="L31" s="61"/>
    </row>
    <row r="32" spans="1:17" ht="20.45" customHeight="1" x14ac:dyDescent="0.3">
      <c r="A32" s="10">
        <f>A31+1</f>
        <v>15</v>
      </c>
      <c r="B32" s="56"/>
      <c r="C32" s="56"/>
      <c r="D32" s="56"/>
      <c r="E32" s="58"/>
      <c r="F32" s="116"/>
      <c r="G32" s="92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0">A32+1</f>
        <v>16</v>
      </c>
      <c r="B33" s="56"/>
      <c r="C33" s="56"/>
      <c r="D33" s="56"/>
      <c r="E33" s="58"/>
      <c r="F33" s="116"/>
      <c r="G33" s="92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59"/>
      <c r="C34" s="59"/>
      <c r="D34" s="59"/>
      <c r="E34" s="119"/>
      <c r="F34" s="120"/>
      <c r="G34" s="92">
        <f t="shared" si="9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10"/>
        <v>18</v>
      </c>
      <c r="B35" s="56"/>
      <c r="C35" s="56"/>
      <c r="D35" s="56"/>
      <c r="E35" s="119"/>
      <c r="F35" s="116"/>
      <c r="G35" s="92">
        <f t="shared" si="9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10"/>
        <v>19</v>
      </c>
      <c r="B36" s="59"/>
      <c r="C36" s="59"/>
      <c r="D36" s="59"/>
      <c r="E36" s="119"/>
      <c r="F36" s="125"/>
      <c r="G36" s="92">
        <f t="shared" si="9"/>
        <v>49</v>
      </c>
      <c r="H36" s="56"/>
      <c r="I36" s="56"/>
      <c r="J36" s="56"/>
      <c r="K36" s="58"/>
      <c r="L36" s="61"/>
    </row>
    <row r="37" spans="1:12" ht="20.45" customHeight="1" x14ac:dyDescent="0.3">
      <c r="A37" s="10">
        <f t="shared" si="10"/>
        <v>20</v>
      </c>
      <c r="B37" s="56"/>
      <c r="C37" s="56"/>
      <c r="D37" s="56"/>
      <c r="E37" s="58"/>
      <c r="F37" s="116"/>
      <c r="G37" s="92">
        <f t="shared" si="9"/>
        <v>50</v>
      </c>
      <c r="H37" s="56"/>
      <c r="I37" s="56"/>
      <c r="J37" s="56"/>
      <c r="K37" s="58"/>
      <c r="L37" s="61"/>
    </row>
    <row r="38" spans="1:12" ht="20.45" customHeight="1" x14ac:dyDescent="0.3">
      <c r="A38" s="10">
        <f t="shared" si="10"/>
        <v>21</v>
      </c>
      <c r="B38" s="56"/>
      <c r="C38" s="56"/>
      <c r="D38" s="56"/>
      <c r="E38" s="58"/>
      <c r="F38" s="116"/>
      <c r="G38" s="92">
        <f t="shared" si="9"/>
        <v>51</v>
      </c>
      <c r="H38" s="56"/>
      <c r="I38" s="56"/>
      <c r="J38" s="56"/>
      <c r="K38" s="58"/>
      <c r="L38" s="61"/>
    </row>
    <row r="39" spans="1:12" ht="20.45" customHeight="1" x14ac:dyDescent="0.3">
      <c r="A39" s="10">
        <f t="shared" si="10"/>
        <v>22</v>
      </c>
      <c r="B39" s="56"/>
      <c r="C39" s="56"/>
      <c r="D39" s="56"/>
      <c r="E39" s="58"/>
      <c r="F39" s="58"/>
      <c r="G39" s="92">
        <f t="shared" si="9"/>
        <v>52</v>
      </c>
      <c r="H39" s="56"/>
      <c r="I39" s="56"/>
      <c r="J39" s="56"/>
      <c r="K39" s="58"/>
      <c r="L39" s="61"/>
    </row>
    <row r="40" spans="1:12" ht="20.45" customHeight="1" x14ac:dyDescent="0.3">
      <c r="A40" s="10">
        <f t="shared" si="10"/>
        <v>23</v>
      </c>
      <c r="B40" s="56"/>
      <c r="C40" s="56"/>
      <c r="D40" s="56"/>
      <c r="E40" s="58"/>
      <c r="F40" s="58"/>
      <c r="G40" s="92">
        <f t="shared" si="9"/>
        <v>53</v>
      </c>
      <c r="H40" s="56"/>
      <c r="I40" s="56"/>
      <c r="J40" s="56"/>
      <c r="K40" s="58"/>
      <c r="L40" s="61"/>
    </row>
    <row r="41" spans="1:12" ht="20.45" customHeight="1" x14ac:dyDescent="0.3">
      <c r="A41" s="10">
        <f t="shared" si="10"/>
        <v>24</v>
      </c>
      <c r="B41" s="56"/>
      <c r="C41" s="56"/>
      <c r="D41" s="56"/>
      <c r="E41" s="58"/>
      <c r="F41" s="61"/>
      <c r="G41" s="92">
        <f t="shared" si="9"/>
        <v>54</v>
      </c>
      <c r="H41" s="56"/>
      <c r="I41" s="56"/>
      <c r="J41" s="56"/>
      <c r="K41" s="58"/>
      <c r="L41" s="61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61"/>
      <c r="G42" s="92">
        <f t="shared" si="9"/>
        <v>55</v>
      </c>
      <c r="H42" s="56"/>
      <c r="I42" s="56"/>
      <c r="J42" s="56"/>
      <c r="K42" s="58"/>
      <c r="L42" s="61"/>
    </row>
    <row r="43" spans="1:12" ht="20.45" customHeight="1" x14ac:dyDescent="0.3">
      <c r="A43" s="10">
        <f t="shared" si="10"/>
        <v>26</v>
      </c>
      <c r="B43" s="59"/>
      <c r="C43" s="59"/>
      <c r="D43" s="59"/>
      <c r="E43" s="58"/>
      <c r="F43" s="125"/>
      <c r="G43" s="92">
        <f t="shared" si="9"/>
        <v>56</v>
      </c>
      <c r="H43" s="56"/>
      <c r="I43" s="56"/>
      <c r="J43" s="56"/>
      <c r="K43" s="58"/>
      <c r="L43" s="61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116"/>
      <c r="G44" s="92">
        <f t="shared" si="9"/>
        <v>57</v>
      </c>
      <c r="H44" s="56"/>
      <c r="I44" s="56"/>
      <c r="J44" s="56"/>
      <c r="K44" s="58"/>
      <c r="L44" s="61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116"/>
      <c r="G45" s="92">
        <f t="shared" si="9"/>
        <v>58</v>
      </c>
      <c r="H45" s="56"/>
      <c r="I45" s="56"/>
      <c r="J45" s="56"/>
      <c r="K45" s="58"/>
      <c r="L45" s="61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116"/>
      <c r="G46" s="92">
        <f t="shared" si="9"/>
        <v>59</v>
      </c>
      <c r="H46" s="56"/>
      <c r="I46" s="56"/>
      <c r="J46" s="56"/>
      <c r="K46" s="58"/>
      <c r="L46" s="61"/>
    </row>
    <row r="47" spans="1:12" ht="20.45" customHeight="1" x14ac:dyDescent="0.3">
      <c r="A47" s="117">
        <f t="shared" si="10"/>
        <v>30</v>
      </c>
      <c r="B47" s="112"/>
      <c r="C47" s="112"/>
      <c r="D47" s="112"/>
      <c r="E47" s="113"/>
      <c r="F47" s="118"/>
      <c r="G47" s="114">
        <f t="shared" si="9"/>
        <v>60</v>
      </c>
      <c r="H47" s="112"/>
      <c r="I47" s="112"/>
      <c r="J47" s="112"/>
      <c r="K47" s="113"/>
      <c r="L47" s="11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3:F39">
    <sortCondition ref="E33:E39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061EE-23A8-42F0-89E7-003BE8B01DE5}">
  <sheetPr codeName="Sheet5">
    <tabColor rgb="FFFF0000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'261003'!C5:F5+1</f>
        <v>46299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'261003'!F8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'261003'!L8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'261003'!F9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'261003'!L9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'261003'!F10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'261003'!L10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'261003'!F11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'261003'!L11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'261003'!F12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'261003'!L12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'261003'!F13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'261003'!L13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'261003'!F14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'261003'!L14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89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116"/>
    </row>
    <row r="19" spans="1:12" ht="20.45" customHeight="1" x14ac:dyDescent="0.3">
      <c r="A19" s="91">
        <f t="shared" ref="A19:A31" si="8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58"/>
    </row>
    <row r="20" spans="1:12" ht="20.45" customHeight="1" x14ac:dyDescent="0.3">
      <c r="A20" s="91">
        <f t="shared" si="8"/>
        <v>3</v>
      </c>
      <c r="B20" s="56"/>
      <c r="C20" s="56"/>
      <c r="D20" s="56"/>
      <c r="E20" s="58"/>
      <c r="F20" s="58"/>
      <c r="G20" s="92">
        <f t="shared" ref="G20:G47" si="9">G19+1</f>
        <v>33</v>
      </c>
      <c r="H20" s="56"/>
      <c r="I20" s="56"/>
      <c r="J20" s="56"/>
      <c r="K20" s="58"/>
      <c r="L20" s="58"/>
    </row>
    <row r="21" spans="1:12" ht="20.45" customHeight="1" x14ac:dyDescent="0.3">
      <c r="A21" s="91">
        <f t="shared" si="8"/>
        <v>4</v>
      </c>
      <c r="B21" s="56"/>
      <c r="C21" s="56"/>
      <c r="D21" s="56"/>
      <c r="E21" s="58"/>
      <c r="F21" s="125"/>
      <c r="G21" s="92">
        <f t="shared" si="9"/>
        <v>34</v>
      </c>
      <c r="H21" s="56"/>
      <c r="I21" s="56"/>
      <c r="J21" s="56"/>
      <c r="K21" s="58"/>
      <c r="L21" s="58"/>
    </row>
    <row r="22" spans="1:12" ht="20.45" customHeight="1" x14ac:dyDescent="0.3">
      <c r="A22" s="91">
        <f t="shared" si="8"/>
        <v>5</v>
      </c>
      <c r="B22" s="56"/>
      <c r="C22" s="56"/>
      <c r="D22" s="56"/>
      <c r="E22" s="58"/>
      <c r="F22" s="125"/>
      <c r="G22" s="92">
        <f t="shared" si="9"/>
        <v>35</v>
      </c>
      <c r="H22" s="56"/>
      <c r="I22" s="56"/>
      <c r="J22" s="56"/>
      <c r="K22" s="58"/>
      <c r="L22" s="58"/>
    </row>
    <row r="23" spans="1:12" ht="20.45" customHeight="1" x14ac:dyDescent="0.3">
      <c r="A23" s="91">
        <f t="shared" si="8"/>
        <v>6</v>
      </c>
      <c r="B23" s="56"/>
      <c r="C23" s="56"/>
      <c r="D23" s="56"/>
      <c r="E23" s="58"/>
      <c r="F23" s="58"/>
      <c r="G23" s="92">
        <f t="shared" si="9"/>
        <v>36</v>
      </c>
      <c r="H23" s="56"/>
      <c r="I23" s="56"/>
      <c r="J23" s="56"/>
      <c r="K23" s="58"/>
      <c r="L23" s="58"/>
    </row>
    <row r="24" spans="1:12" ht="20.45" customHeight="1" x14ac:dyDescent="0.3">
      <c r="A24" s="91">
        <f t="shared" si="8"/>
        <v>7</v>
      </c>
      <c r="B24" s="56"/>
      <c r="C24" s="56"/>
      <c r="D24" s="56"/>
      <c r="E24" s="58"/>
      <c r="F24" s="58"/>
      <c r="G24" s="92">
        <f t="shared" si="9"/>
        <v>37</v>
      </c>
      <c r="H24" s="56"/>
      <c r="I24" s="56"/>
      <c r="J24" s="56"/>
      <c r="K24" s="58"/>
      <c r="L24" s="58"/>
    </row>
    <row r="25" spans="1:12" ht="20.45" customHeight="1" x14ac:dyDescent="0.3">
      <c r="A25" s="91">
        <f t="shared" si="8"/>
        <v>8</v>
      </c>
      <c r="B25" s="56"/>
      <c r="C25" s="56"/>
      <c r="D25" s="56"/>
      <c r="E25" s="58"/>
      <c r="F25" s="58"/>
      <c r="G25" s="92">
        <f t="shared" si="9"/>
        <v>38</v>
      </c>
      <c r="H25" s="56"/>
      <c r="I25" s="56"/>
      <c r="J25" s="56"/>
      <c r="K25" s="58"/>
      <c r="L25" s="58"/>
    </row>
    <row r="26" spans="1:12" ht="20.45" customHeight="1" x14ac:dyDescent="0.3">
      <c r="A26" s="91">
        <f t="shared" si="8"/>
        <v>9</v>
      </c>
      <c r="B26" s="56"/>
      <c r="C26" s="56"/>
      <c r="D26" s="56"/>
      <c r="E26" s="58"/>
      <c r="F26" s="58"/>
      <c r="G26" s="92">
        <f t="shared" si="9"/>
        <v>39</v>
      </c>
      <c r="H26" s="56"/>
      <c r="I26" s="56"/>
      <c r="J26" s="56"/>
      <c r="K26" s="58"/>
      <c r="L26" s="58"/>
    </row>
    <row r="27" spans="1:12" ht="20.45" customHeight="1" x14ac:dyDescent="0.3">
      <c r="A27" s="91">
        <f t="shared" si="8"/>
        <v>10</v>
      </c>
      <c r="B27" s="56"/>
      <c r="C27" s="56"/>
      <c r="D27" s="56"/>
      <c r="E27" s="58"/>
      <c r="F27" s="58"/>
      <c r="G27" s="92">
        <f t="shared" si="9"/>
        <v>40</v>
      </c>
      <c r="H27" s="56"/>
      <c r="I27" s="56"/>
      <c r="J27" s="56"/>
      <c r="K27" s="58"/>
      <c r="L27" s="58"/>
    </row>
    <row r="28" spans="1:12" ht="20.45" customHeight="1" x14ac:dyDescent="0.3">
      <c r="A28" s="91">
        <f t="shared" si="8"/>
        <v>11</v>
      </c>
      <c r="B28" s="56"/>
      <c r="C28" s="56"/>
      <c r="D28" s="56"/>
      <c r="E28" s="58"/>
      <c r="F28" s="61"/>
      <c r="G28" s="92">
        <f t="shared" si="9"/>
        <v>41</v>
      </c>
      <c r="H28" s="56"/>
      <c r="I28" s="56"/>
      <c r="J28" s="56"/>
      <c r="K28" s="58"/>
      <c r="L28" s="61"/>
    </row>
    <row r="29" spans="1:12" ht="20.45" customHeight="1" x14ac:dyDescent="0.3">
      <c r="A29" s="91">
        <f t="shared" si="8"/>
        <v>12</v>
      </c>
      <c r="B29" s="56"/>
      <c r="C29" s="56"/>
      <c r="D29" s="56"/>
      <c r="E29" s="58"/>
      <c r="F29" s="61"/>
      <c r="G29" s="92">
        <f t="shared" si="9"/>
        <v>42</v>
      </c>
      <c r="H29" s="56"/>
      <c r="I29" s="56"/>
      <c r="J29" s="56"/>
      <c r="K29" s="58"/>
      <c r="L29" s="61"/>
    </row>
    <row r="30" spans="1:12" ht="20.45" customHeight="1" x14ac:dyDescent="0.3">
      <c r="A30" s="91">
        <f t="shared" si="8"/>
        <v>13</v>
      </c>
      <c r="B30" s="56"/>
      <c r="C30" s="56"/>
      <c r="D30" s="56"/>
      <c r="E30" s="58"/>
      <c r="F30" s="61"/>
      <c r="G30" s="92">
        <f t="shared" si="9"/>
        <v>43</v>
      </c>
      <c r="H30" s="56"/>
      <c r="I30" s="56"/>
      <c r="J30" s="56"/>
      <c r="K30" s="58"/>
      <c r="L30" s="61"/>
    </row>
    <row r="31" spans="1:12" ht="20.45" customHeight="1" x14ac:dyDescent="0.3">
      <c r="A31" s="91">
        <f t="shared" si="8"/>
        <v>14</v>
      </c>
      <c r="B31" s="56"/>
      <c r="C31" s="56"/>
      <c r="D31" s="56"/>
      <c r="E31" s="58"/>
      <c r="F31" s="61"/>
      <c r="G31" s="92">
        <f t="shared" si="9"/>
        <v>44</v>
      </c>
      <c r="H31" s="56"/>
      <c r="I31" s="56"/>
      <c r="J31" s="56"/>
      <c r="K31" s="58"/>
      <c r="L31" s="61"/>
    </row>
    <row r="32" spans="1:12" ht="20.45" customHeight="1" x14ac:dyDescent="0.3">
      <c r="A32" s="91">
        <f>A31+1</f>
        <v>15</v>
      </c>
      <c r="B32" s="56"/>
      <c r="C32" s="56"/>
      <c r="D32" s="56"/>
      <c r="E32" s="58"/>
      <c r="F32" s="61"/>
      <c r="G32" s="92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91">
        <f t="shared" ref="A33:A47" si="10">A32+1</f>
        <v>16</v>
      </c>
      <c r="B33" s="56"/>
      <c r="C33" s="56"/>
      <c r="D33" s="56"/>
      <c r="E33" s="58"/>
      <c r="F33" s="116"/>
      <c r="G33" s="92">
        <f t="shared" si="9"/>
        <v>46</v>
      </c>
      <c r="H33" s="56"/>
      <c r="I33" s="56"/>
      <c r="J33" s="56"/>
      <c r="K33" s="58"/>
      <c r="L33" s="58"/>
    </row>
    <row r="34" spans="1:12" ht="20.45" customHeight="1" x14ac:dyDescent="0.3">
      <c r="A34" s="91">
        <f t="shared" si="10"/>
        <v>17</v>
      </c>
      <c r="B34" s="56"/>
      <c r="C34" s="56"/>
      <c r="D34" s="56"/>
      <c r="E34" s="58"/>
      <c r="F34" s="116"/>
      <c r="G34" s="92">
        <f t="shared" si="9"/>
        <v>47</v>
      </c>
      <c r="H34" s="56"/>
      <c r="I34" s="56"/>
      <c r="J34" s="56"/>
      <c r="K34" s="58"/>
      <c r="L34" s="58"/>
    </row>
    <row r="35" spans="1:12" ht="20.45" customHeight="1" x14ac:dyDescent="0.3">
      <c r="A35" s="91">
        <f t="shared" si="10"/>
        <v>18</v>
      </c>
      <c r="B35" s="59"/>
      <c r="C35" s="59"/>
      <c r="D35" s="59"/>
      <c r="E35" s="119"/>
      <c r="F35" s="120"/>
      <c r="G35" s="92">
        <f t="shared" si="9"/>
        <v>48</v>
      </c>
      <c r="H35" s="56"/>
      <c r="I35" s="56"/>
      <c r="J35" s="56"/>
      <c r="K35" s="58"/>
      <c r="L35" s="58"/>
    </row>
    <row r="36" spans="1:12" ht="20.45" customHeight="1" x14ac:dyDescent="0.3">
      <c r="A36" s="91">
        <f t="shared" si="10"/>
        <v>19</v>
      </c>
      <c r="B36" s="56"/>
      <c r="C36" s="56"/>
      <c r="D36" s="56"/>
      <c r="E36" s="119"/>
      <c r="F36" s="116"/>
      <c r="G36" s="92">
        <f t="shared" si="9"/>
        <v>49</v>
      </c>
      <c r="H36" s="56"/>
      <c r="I36" s="56"/>
      <c r="J36" s="56"/>
      <c r="K36" s="58"/>
      <c r="L36" s="61"/>
    </row>
    <row r="37" spans="1:12" ht="20.45" customHeight="1" x14ac:dyDescent="0.3">
      <c r="A37" s="91">
        <f t="shared" si="10"/>
        <v>20</v>
      </c>
      <c r="B37" s="59"/>
      <c r="C37" s="59"/>
      <c r="D37" s="59"/>
      <c r="E37" s="119"/>
      <c r="F37" s="125"/>
      <c r="G37" s="92">
        <f t="shared" si="9"/>
        <v>50</v>
      </c>
      <c r="H37" s="56"/>
      <c r="I37" s="56"/>
      <c r="J37" s="56"/>
      <c r="K37" s="58"/>
      <c r="L37" s="61"/>
    </row>
    <row r="38" spans="1:12" ht="20.45" customHeight="1" x14ac:dyDescent="0.3">
      <c r="A38" s="91">
        <f t="shared" si="10"/>
        <v>21</v>
      </c>
      <c r="B38" s="56"/>
      <c r="C38" s="56"/>
      <c r="D38" s="56"/>
      <c r="E38" s="58"/>
      <c r="F38" s="125"/>
      <c r="G38" s="92">
        <f t="shared" si="9"/>
        <v>51</v>
      </c>
      <c r="H38" s="56"/>
      <c r="I38" s="56"/>
      <c r="J38" s="56"/>
      <c r="K38" s="58"/>
      <c r="L38" s="61"/>
    </row>
    <row r="39" spans="1:12" ht="20.45" customHeight="1" x14ac:dyDescent="0.3">
      <c r="A39" s="91">
        <f t="shared" si="10"/>
        <v>22</v>
      </c>
      <c r="B39" s="56"/>
      <c r="C39" s="56"/>
      <c r="D39" s="56"/>
      <c r="E39" s="58"/>
      <c r="F39" s="125"/>
      <c r="G39" s="92">
        <f t="shared" si="9"/>
        <v>52</v>
      </c>
      <c r="H39" s="56"/>
      <c r="I39" s="56"/>
      <c r="J39" s="56"/>
      <c r="K39" s="58"/>
      <c r="L39" s="61"/>
    </row>
    <row r="40" spans="1:12" ht="20.45" customHeight="1" x14ac:dyDescent="0.3">
      <c r="A40" s="91">
        <f t="shared" si="10"/>
        <v>23</v>
      </c>
      <c r="B40" s="56"/>
      <c r="C40" s="56"/>
      <c r="D40" s="56"/>
      <c r="E40" s="58"/>
      <c r="F40" s="58"/>
      <c r="G40" s="92">
        <f t="shared" si="9"/>
        <v>53</v>
      </c>
      <c r="H40" s="56"/>
      <c r="I40" s="56"/>
      <c r="J40" s="56"/>
      <c r="K40" s="58"/>
      <c r="L40" s="61"/>
    </row>
    <row r="41" spans="1:12" ht="20.45" customHeight="1" x14ac:dyDescent="0.3">
      <c r="A41" s="91">
        <f t="shared" si="10"/>
        <v>24</v>
      </c>
      <c r="B41" s="56"/>
      <c r="C41" s="56"/>
      <c r="D41" s="56"/>
      <c r="E41" s="58"/>
      <c r="F41" s="58"/>
      <c r="G41" s="92">
        <f t="shared" si="9"/>
        <v>54</v>
      </c>
      <c r="H41" s="56"/>
      <c r="I41" s="56"/>
      <c r="J41" s="56"/>
      <c r="K41" s="58"/>
      <c r="L41" s="61"/>
    </row>
    <row r="42" spans="1:12" ht="20.45" customHeight="1" x14ac:dyDescent="0.3">
      <c r="A42" s="91">
        <f t="shared" si="10"/>
        <v>25</v>
      </c>
      <c r="B42" s="56"/>
      <c r="C42" s="56"/>
      <c r="D42" s="56"/>
      <c r="E42" s="58"/>
      <c r="F42" s="61"/>
      <c r="G42" s="92">
        <f t="shared" si="9"/>
        <v>55</v>
      </c>
      <c r="H42" s="56"/>
      <c r="I42" s="56"/>
      <c r="J42" s="56"/>
      <c r="K42" s="58"/>
      <c r="L42" s="61"/>
    </row>
    <row r="43" spans="1:12" ht="20.45" customHeight="1" x14ac:dyDescent="0.3">
      <c r="A43" s="91">
        <f t="shared" si="10"/>
        <v>26</v>
      </c>
      <c r="B43" s="56"/>
      <c r="C43" s="56"/>
      <c r="D43" s="56"/>
      <c r="E43" s="58"/>
      <c r="F43" s="61"/>
      <c r="G43" s="92">
        <f t="shared" si="9"/>
        <v>56</v>
      </c>
      <c r="H43" s="56"/>
      <c r="I43" s="56"/>
      <c r="J43" s="56"/>
      <c r="K43" s="58"/>
      <c r="L43" s="61"/>
    </row>
    <row r="44" spans="1:12" ht="20.45" customHeight="1" x14ac:dyDescent="0.3">
      <c r="A44" s="91">
        <f t="shared" si="10"/>
        <v>27</v>
      </c>
      <c r="B44" s="59"/>
      <c r="C44" s="59"/>
      <c r="D44" s="59"/>
      <c r="E44" s="58"/>
      <c r="F44" s="125"/>
      <c r="G44" s="92">
        <f t="shared" si="9"/>
        <v>57</v>
      </c>
      <c r="H44" s="56"/>
      <c r="I44" s="56"/>
      <c r="J44" s="56"/>
      <c r="K44" s="58"/>
      <c r="L44" s="61"/>
    </row>
    <row r="45" spans="1:12" ht="20.45" customHeight="1" x14ac:dyDescent="0.3">
      <c r="A45" s="91">
        <f t="shared" si="10"/>
        <v>28</v>
      </c>
      <c r="B45" s="56"/>
      <c r="C45" s="56"/>
      <c r="D45" s="56"/>
      <c r="E45" s="58"/>
      <c r="F45" s="116"/>
      <c r="G45" s="92">
        <f t="shared" si="9"/>
        <v>58</v>
      </c>
      <c r="H45" s="56"/>
      <c r="I45" s="56"/>
      <c r="J45" s="56"/>
      <c r="K45" s="58"/>
      <c r="L45" s="61"/>
    </row>
    <row r="46" spans="1:12" ht="20.45" customHeight="1" x14ac:dyDescent="0.3">
      <c r="A46" s="91">
        <f t="shared" si="10"/>
        <v>29</v>
      </c>
      <c r="B46" s="56"/>
      <c r="C46" s="56"/>
      <c r="D46" s="56"/>
      <c r="E46" s="58"/>
      <c r="F46" s="116"/>
      <c r="G46" s="92">
        <f t="shared" si="9"/>
        <v>59</v>
      </c>
      <c r="H46" s="56"/>
      <c r="I46" s="56"/>
      <c r="J46" s="56"/>
      <c r="K46" s="58"/>
      <c r="L46" s="61"/>
    </row>
    <row r="47" spans="1:12" ht="20.45" customHeight="1" x14ac:dyDescent="0.3">
      <c r="A47" s="91">
        <f t="shared" si="10"/>
        <v>30</v>
      </c>
      <c r="B47" s="56"/>
      <c r="C47" s="56"/>
      <c r="D47" s="56"/>
      <c r="E47" s="58"/>
      <c r="F47" s="116"/>
      <c r="G47" s="92">
        <f t="shared" si="9"/>
        <v>60</v>
      </c>
      <c r="H47" s="56"/>
      <c r="I47" s="56"/>
      <c r="J47" s="56"/>
      <c r="K47" s="58"/>
      <c r="L47" s="61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8:F33">
    <sortCondition ref="E28:E33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C206-B680-4599-AB2C-337B5E177DE8}">
  <sheetPr codeName="Sheet6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'261004'!C5:F5+1</f>
        <v>46300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'261004'!F8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'261004'!L8</f>
        <v>0</v>
      </c>
      <c r="L8" s="42">
        <f t="shared" ref="L8:L13" si="3">I8+K8</f>
        <v>0</v>
      </c>
    </row>
    <row r="9" spans="1:14" ht="21.95" customHeight="1" x14ac:dyDescent="0.3">
      <c r="A9" s="4">
        <v>2</v>
      </c>
      <c r="B9" s="103" t="str">
        <f>'261001'!B9</f>
        <v>관리자</v>
      </c>
      <c r="C9" s="142">
        <f t="shared" si="0"/>
        <v>0</v>
      </c>
      <c r="D9" s="142"/>
      <c r="E9" s="38">
        <f>'261004'!F9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'261004'!L9</f>
        <v>0</v>
      </c>
      <c r="L9" s="34">
        <f t="shared" si="3"/>
        <v>0</v>
      </c>
    </row>
    <row r="10" spans="1:14" ht="21.95" customHeight="1" x14ac:dyDescent="0.3">
      <c r="A10" s="4">
        <v>3</v>
      </c>
      <c r="B10" s="103" t="str">
        <f>'261001'!B10</f>
        <v>직영</v>
      </c>
      <c r="C10" s="142">
        <f t="shared" si="0"/>
        <v>0</v>
      </c>
      <c r="D10" s="142"/>
      <c r="E10" s="38">
        <f>'261004'!F10</f>
        <v>0</v>
      </c>
      <c r="F10" s="34">
        <f t="shared" si="1"/>
        <v>0</v>
      </c>
      <c r="G10" s="8">
        <f t="shared" ref="G10:G14" si="4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'261004'!L10</f>
        <v>0</v>
      </c>
      <c r="L10" s="34">
        <f t="shared" si="3"/>
        <v>0</v>
      </c>
    </row>
    <row r="11" spans="1:14" ht="21.95" customHeight="1" x14ac:dyDescent="0.3">
      <c r="A11" s="4">
        <v>4</v>
      </c>
      <c r="B11" s="103" t="str">
        <f>'261001'!B11</f>
        <v>단열</v>
      </c>
      <c r="C11" s="142">
        <f t="shared" si="0"/>
        <v>0</v>
      </c>
      <c r="D11" s="142"/>
      <c r="E11" s="38">
        <f>'261004'!F11</f>
        <v>0</v>
      </c>
      <c r="F11" s="34">
        <f t="shared" si="1"/>
        <v>0</v>
      </c>
      <c r="G11" s="8">
        <f t="shared" si="4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'261004'!L11</f>
        <v>0</v>
      </c>
      <c r="L11" s="34">
        <f t="shared" si="3"/>
        <v>0</v>
      </c>
    </row>
    <row r="12" spans="1:14" ht="21.95" customHeight="1" x14ac:dyDescent="0.3">
      <c r="A12" s="4">
        <v>5</v>
      </c>
      <c r="B12" s="103" t="str">
        <f>'261001'!B12</f>
        <v>경량</v>
      </c>
      <c r="C12" s="142">
        <f t="shared" si="0"/>
        <v>0</v>
      </c>
      <c r="D12" s="142"/>
      <c r="E12" s="38">
        <f>'261004'!F12</f>
        <v>0</v>
      </c>
      <c r="F12" s="34">
        <f t="shared" si="1"/>
        <v>0</v>
      </c>
      <c r="G12" s="8">
        <f t="shared" si="4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'261004'!L12</f>
        <v>0</v>
      </c>
      <c r="L12" s="34">
        <f t="shared" si="3"/>
        <v>0</v>
      </c>
    </row>
    <row r="13" spans="1:14" ht="21.95" customHeight="1" x14ac:dyDescent="0.3">
      <c r="A13" s="4">
        <v>6</v>
      </c>
      <c r="B13" s="103" t="str">
        <f>'261001'!B13</f>
        <v>합지</v>
      </c>
      <c r="C13" s="142">
        <f t="shared" si="0"/>
        <v>0</v>
      </c>
      <c r="D13" s="142"/>
      <c r="E13" s="38">
        <f>'261004'!F13</f>
        <v>0</v>
      </c>
      <c r="F13" s="34">
        <f t="shared" si="1"/>
        <v>0</v>
      </c>
      <c r="G13" s="8">
        <f t="shared" si="4"/>
        <v>13</v>
      </c>
      <c r="H13" s="32">
        <f>'261001'!H13</f>
        <v>0</v>
      </c>
      <c r="I13" s="142">
        <f t="shared" si="2"/>
        <v>0</v>
      </c>
      <c r="J13" s="142"/>
      <c r="K13" s="34">
        <f>'261004'!L13</f>
        <v>0</v>
      </c>
      <c r="L13" s="34">
        <f t="shared" si="3"/>
        <v>0</v>
      </c>
    </row>
    <row r="14" spans="1:14" ht="21.95" customHeight="1" x14ac:dyDescent="0.3">
      <c r="A14" s="5">
        <v>7</v>
      </c>
      <c r="B14" s="104" t="str">
        <f>'261001'!B14</f>
        <v>천정</v>
      </c>
      <c r="C14" s="150">
        <f t="shared" si="0"/>
        <v>0</v>
      </c>
      <c r="D14" s="150"/>
      <c r="E14" s="39">
        <f>'261004'!F14</f>
        <v>0</v>
      </c>
      <c r="F14" s="40">
        <f t="shared" ref="F14" si="5">C14+E14</f>
        <v>0</v>
      </c>
      <c r="G14" s="9">
        <f t="shared" si="4"/>
        <v>14</v>
      </c>
      <c r="H14" s="33">
        <f>'261001'!H14</f>
        <v>0</v>
      </c>
      <c r="I14" s="150">
        <f t="shared" si="2"/>
        <v>0</v>
      </c>
      <c r="J14" s="150"/>
      <c r="K14" s="40">
        <f>'261004'!L14</f>
        <v>0</v>
      </c>
      <c r="L14" s="40">
        <f t="shared" ref="L14" si="6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58"/>
    </row>
    <row r="19" spans="1:12" ht="20.45" customHeight="1" x14ac:dyDescent="0.3">
      <c r="A19" s="10">
        <f t="shared" ref="A19:A31" si="7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58"/>
    </row>
    <row r="20" spans="1:12" ht="20.45" customHeight="1" x14ac:dyDescent="0.3">
      <c r="A20" s="10">
        <f t="shared" si="7"/>
        <v>3</v>
      </c>
      <c r="B20" s="56"/>
      <c r="C20" s="56"/>
      <c r="D20" s="56"/>
      <c r="E20" s="58"/>
      <c r="F20" s="58"/>
      <c r="G20" s="92">
        <f t="shared" ref="G20:G47" si="8">G19+1</f>
        <v>33</v>
      </c>
      <c r="H20" s="56"/>
      <c r="I20" s="56"/>
      <c r="J20" s="56"/>
      <c r="K20" s="58"/>
      <c r="L20" s="58"/>
    </row>
    <row r="21" spans="1:12" ht="20.45" customHeight="1" x14ac:dyDescent="0.3">
      <c r="A21" s="10">
        <f t="shared" si="7"/>
        <v>4</v>
      </c>
      <c r="B21" s="56"/>
      <c r="C21" s="56"/>
      <c r="D21" s="56"/>
      <c r="E21" s="58"/>
      <c r="F21" s="125"/>
      <c r="G21" s="92">
        <f t="shared" si="8"/>
        <v>34</v>
      </c>
      <c r="H21" s="56"/>
      <c r="I21" s="56"/>
      <c r="J21" s="56"/>
      <c r="K21" s="58"/>
      <c r="L21" s="58"/>
    </row>
    <row r="22" spans="1:12" ht="20.45" customHeight="1" x14ac:dyDescent="0.3">
      <c r="A22" s="10">
        <f t="shared" si="7"/>
        <v>5</v>
      </c>
      <c r="B22" s="56"/>
      <c r="C22" s="56"/>
      <c r="D22" s="56"/>
      <c r="E22" s="58"/>
      <c r="F22" s="125"/>
      <c r="G22" s="92">
        <f t="shared" si="8"/>
        <v>35</v>
      </c>
      <c r="H22" s="56"/>
      <c r="I22" s="56"/>
      <c r="J22" s="56"/>
      <c r="K22" s="58"/>
      <c r="L22" s="58"/>
    </row>
    <row r="23" spans="1:12" ht="20.45" customHeight="1" x14ac:dyDescent="0.3">
      <c r="A23" s="10">
        <f t="shared" si="7"/>
        <v>6</v>
      </c>
      <c r="B23" s="56"/>
      <c r="C23" s="56"/>
      <c r="D23" s="56"/>
      <c r="E23" s="58"/>
      <c r="F23" s="58"/>
      <c r="G23" s="92">
        <f t="shared" si="8"/>
        <v>36</v>
      </c>
      <c r="H23" s="56"/>
      <c r="I23" s="56"/>
      <c r="J23" s="56"/>
      <c r="K23" s="58"/>
      <c r="L23" s="58"/>
    </row>
    <row r="24" spans="1:12" ht="20.45" customHeight="1" x14ac:dyDescent="0.3">
      <c r="A24" s="10">
        <f t="shared" si="7"/>
        <v>7</v>
      </c>
      <c r="B24" s="56"/>
      <c r="C24" s="56"/>
      <c r="D24" s="56"/>
      <c r="E24" s="58"/>
      <c r="F24" s="58"/>
      <c r="G24" s="92">
        <f t="shared" si="8"/>
        <v>37</v>
      </c>
      <c r="H24" s="56"/>
      <c r="I24" s="56"/>
      <c r="J24" s="56"/>
      <c r="K24" s="58"/>
      <c r="L24" s="58"/>
    </row>
    <row r="25" spans="1:12" ht="20.45" customHeight="1" x14ac:dyDescent="0.3">
      <c r="A25" s="10">
        <f t="shared" si="7"/>
        <v>8</v>
      </c>
      <c r="B25" s="56"/>
      <c r="C25" s="56"/>
      <c r="D25" s="56"/>
      <c r="E25" s="58"/>
      <c r="F25" s="58"/>
      <c r="G25" s="92">
        <f t="shared" si="8"/>
        <v>38</v>
      </c>
      <c r="H25" s="56"/>
      <c r="I25" s="56"/>
      <c r="J25" s="56"/>
      <c r="K25" s="58"/>
      <c r="L25" s="58"/>
    </row>
    <row r="26" spans="1:12" ht="20.45" customHeight="1" x14ac:dyDescent="0.3">
      <c r="A26" s="10">
        <f t="shared" si="7"/>
        <v>9</v>
      </c>
      <c r="B26" s="56"/>
      <c r="C26" s="56"/>
      <c r="D26" s="56"/>
      <c r="E26" s="58"/>
      <c r="F26" s="58"/>
      <c r="G26" s="92">
        <f t="shared" si="8"/>
        <v>39</v>
      </c>
      <c r="H26" s="56"/>
      <c r="I26" s="56"/>
      <c r="J26" s="56"/>
      <c r="K26" s="58"/>
      <c r="L26" s="58"/>
    </row>
    <row r="27" spans="1:12" ht="20.45" customHeight="1" x14ac:dyDescent="0.3">
      <c r="A27" s="10">
        <f t="shared" si="7"/>
        <v>10</v>
      </c>
      <c r="B27" s="56"/>
      <c r="C27" s="56"/>
      <c r="D27" s="56"/>
      <c r="E27" s="58"/>
      <c r="F27" s="58"/>
      <c r="G27" s="92">
        <f t="shared" si="8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7"/>
        <v>11</v>
      </c>
      <c r="B28" s="56"/>
      <c r="C28" s="56"/>
      <c r="D28" s="56"/>
      <c r="E28" s="58"/>
      <c r="F28" s="116"/>
      <c r="G28" s="92">
        <f t="shared" si="8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7"/>
        <v>12</v>
      </c>
      <c r="B29" s="59"/>
      <c r="C29" s="59"/>
      <c r="D29" s="59"/>
      <c r="E29" s="119"/>
      <c r="F29" s="120"/>
      <c r="G29" s="92">
        <f t="shared" si="8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7"/>
        <v>13</v>
      </c>
      <c r="B30" s="56"/>
      <c r="C30" s="56"/>
      <c r="D30" s="56"/>
      <c r="E30" s="119"/>
      <c r="F30" s="116"/>
      <c r="G30" s="92">
        <f t="shared" si="8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7"/>
        <v>14</v>
      </c>
      <c r="B31" s="59"/>
      <c r="C31" s="59"/>
      <c r="D31" s="59"/>
      <c r="E31" s="119"/>
      <c r="F31" s="125"/>
      <c r="G31" s="92">
        <f t="shared" si="8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125"/>
      <c r="G32" s="92">
        <f t="shared" si="8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9">A32+1</f>
        <v>16</v>
      </c>
      <c r="B33" s="56"/>
      <c r="C33" s="56"/>
      <c r="D33" s="56"/>
      <c r="E33" s="58"/>
      <c r="F33" s="125"/>
      <c r="G33" s="92">
        <f t="shared" si="8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9"/>
        <v>17</v>
      </c>
      <c r="B34" s="56"/>
      <c r="C34" s="56"/>
      <c r="D34" s="56"/>
      <c r="E34" s="58"/>
      <c r="F34" s="58"/>
      <c r="G34" s="92">
        <f t="shared" si="8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9"/>
        <v>18</v>
      </c>
      <c r="B35" s="56"/>
      <c r="C35" s="56"/>
      <c r="D35" s="56"/>
      <c r="E35" s="58"/>
      <c r="F35" s="58"/>
      <c r="G35" s="92">
        <f t="shared" si="8"/>
        <v>48</v>
      </c>
      <c r="H35" s="56"/>
      <c r="I35" s="56"/>
      <c r="J35" s="56"/>
      <c r="K35" s="58"/>
      <c r="L35" s="58"/>
    </row>
    <row r="36" spans="1:12" ht="20.45" customHeight="1" x14ac:dyDescent="0.3">
      <c r="A36" s="10">
        <f t="shared" si="9"/>
        <v>19</v>
      </c>
      <c r="B36" s="56"/>
      <c r="C36" s="56"/>
      <c r="D36" s="56"/>
      <c r="E36" s="58"/>
      <c r="F36" s="61"/>
      <c r="G36" s="92">
        <f t="shared" si="8"/>
        <v>49</v>
      </c>
      <c r="H36" s="56"/>
      <c r="I36" s="56"/>
      <c r="J36" s="56"/>
      <c r="K36" s="58"/>
      <c r="L36" s="58"/>
    </row>
    <row r="37" spans="1:12" ht="20.45" customHeight="1" x14ac:dyDescent="0.3">
      <c r="A37" s="10">
        <f t="shared" si="9"/>
        <v>20</v>
      </c>
      <c r="B37" s="56"/>
      <c r="C37" s="56"/>
      <c r="D37" s="56"/>
      <c r="E37" s="58"/>
      <c r="F37" s="61"/>
      <c r="G37" s="92">
        <f t="shared" si="8"/>
        <v>50</v>
      </c>
      <c r="H37" s="56"/>
      <c r="I37" s="56"/>
      <c r="J37" s="56"/>
      <c r="K37" s="58"/>
      <c r="L37" s="58"/>
    </row>
    <row r="38" spans="1:12" ht="20.45" customHeight="1" x14ac:dyDescent="0.3">
      <c r="A38" s="10">
        <f t="shared" si="9"/>
        <v>21</v>
      </c>
      <c r="B38" s="59"/>
      <c r="C38" s="59"/>
      <c r="D38" s="59"/>
      <c r="E38" s="58"/>
      <c r="F38" s="125"/>
      <c r="G38" s="92">
        <f t="shared" si="8"/>
        <v>51</v>
      </c>
      <c r="H38" s="56"/>
      <c r="I38" s="56"/>
      <c r="J38" s="56"/>
      <c r="K38" s="58"/>
      <c r="L38" s="61"/>
    </row>
    <row r="39" spans="1:12" ht="20.45" customHeight="1" x14ac:dyDescent="0.3">
      <c r="A39" s="10">
        <f t="shared" si="9"/>
        <v>22</v>
      </c>
      <c r="B39" s="56"/>
      <c r="C39" s="56"/>
      <c r="D39" s="56"/>
      <c r="E39" s="58"/>
      <c r="F39" s="116"/>
      <c r="G39" s="92">
        <f t="shared" si="8"/>
        <v>52</v>
      </c>
      <c r="H39" s="56"/>
      <c r="I39" s="56"/>
      <c r="J39" s="56"/>
      <c r="K39" s="58"/>
      <c r="L39" s="61"/>
    </row>
    <row r="40" spans="1:12" ht="20.45" customHeight="1" x14ac:dyDescent="0.3">
      <c r="A40" s="10">
        <f t="shared" si="9"/>
        <v>23</v>
      </c>
      <c r="B40" s="56"/>
      <c r="C40" s="56"/>
      <c r="D40" s="56"/>
      <c r="E40" s="58"/>
      <c r="F40" s="116"/>
      <c r="G40" s="92">
        <f t="shared" si="8"/>
        <v>53</v>
      </c>
      <c r="H40" s="56"/>
      <c r="I40" s="56"/>
      <c r="J40" s="56"/>
      <c r="K40" s="58"/>
      <c r="L40" s="61"/>
    </row>
    <row r="41" spans="1:12" ht="20.45" customHeight="1" x14ac:dyDescent="0.3">
      <c r="A41" s="10">
        <f t="shared" si="9"/>
        <v>24</v>
      </c>
      <c r="B41" s="56"/>
      <c r="C41" s="56"/>
      <c r="D41" s="56"/>
      <c r="E41" s="58"/>
      <c r="F41" s="116"/>
      <c r="G41" s="92">
        <f t="shared" si="8"/>
        <v>54</v>
      </c>
      <c r="H41" s="56"/>
      <c r="I41" s="56"/>
      <c r="J41" s="56"/>
      <c r="K41" s="58"/>
      <c r="L41" s="61"/>
    </row>
    <row r="42" spans="1:12" ht="20.45" customHeight="1" x14ac:dyDescent="0.3">
      <c r="A42" s="10">
        <f t="shared" si="9"/>
        <v>25</v>
      </c>
      <c r="B42" s="56"/>
      <c r="C42" s="56"/>
      <c r="D42" s="56"/>
      <c r="E42" s="58"/>
      <c r="F42" s="116"/>
      <c r="G42" s="92">
        <f t="shared" si="8"/>
        <v>55</v>
      </c>
      <c r="H42" s="56"/>
      <c r="I42" s="56"/>
      <c r="J42" s="56"/>
      <c r="K42" s="46"/>
      <c r="L42" s="45"/>
    </row>
    <row r="43" spans="1:12" ht="20.45" customHeight="1" x14ac:dyDescent="0.3">
      <c r="A43" s="10">
        <f t="shared" si="9"/>
        <v>26</v>
      </c>
      <c r="B43" s="56"/>
      <c r="C43" s="56"/>
      <c r="D43" s="56"/>
      <c r="E43" s="58"/>
      <c r="F43" s="116"/>
      <c r="G43" s="92">
        <f t="shared" si="8"/>
        <v>56</v>
      </c>
      <c r="H43" s="56"/>
      <c r="I43" s="56"/>
      <c r="J43" s="56"/>
      <c r="K43" s="46"/>
      <c r="L43" s="45"/>
    </row>
    <row r="44" spans="1:12" ht="20.45" customHeight="1" x14ac:dyDescent="0.3">
      <c r="A44" s="10">
        <f t="shared" si="9"/>
        <v>27</v>
      </c>
      <c r="B44" s="56"/>
      <c r="C44" s="56"/>
      <c r="D44" s="56"/>
      <c r="E44" s="58"/>
      <c r="F44" s="116"/>
      <c r="G44" s="92">
        <f t="shared" si="8"/>
        <v>57</v>
      </c>
      <c r="H44" s="56"/>
      <c r="I44" s="56"/>
      <c r="J44" s="56"/>
      <c r="K44" s="46"/>
      <c r="L44" s="45"/>
    </row>
    <row r="45" spans="1:12" ht="20.45" customHeight="1" x14ac:dyDescent="0.3">
      <c r="A45" s="10">
        <f t="shared" si="9"/>
        <v>28</v>
      </c>
      <c r="B45" s="56"/>
      <c r="C45" s="56"/>
      <c r="D45" s="56"/>
      <c r="E45" s="58"/>
      <c r="F45" s="116"/>
      <c r="G45" s="92">
        <f t="shared" si="8"/>
        <v>58</v>
      </c>
      <c r="H45" s="56"/>
      <c r="I45" s="56"/>
      <c r="J45" s="56"/>
      <c r="K45" s="46"/>
      <c r="L45" s="45"/>
    </row>
    <row r="46" spans="1:12" ht="20.45" customHeight="1" x14ac:dyDescent="0.3">
      <c r="A46" s="10">
        <f t="shared" si="9"/>
        <v>29</v>
      </c>
      <c r="B46" s="56"/>
      <c r="C46" s="56"/>
      <c r="D46" s="56"/>
      <c r="E46" s="58"/>
      <c r="F46" s="116"/>
      <c r="G46" s="92">
        <f t="shared" si="8"/>
        <v>59</v>
      </c>
      <c r="H46" s="56"/>
      <c r="I46" s="56"/>
      <c r="J46" s="56"/>
      <c r="K46" s="46"/>
      <c r="L46" s="45"/>
    </row>
    <row r="47" spans="1:12" ht="20.45" customHeight="1" x14ac:dyDescent="0.3">
      <c r="A47" s="10">
        <f t="shared" si="9"/>
        <v>30</v>
      </c>
      <c r="B47" s="56"/>
      <c r="C47" s="56"/>
      <c r="D47" s="56"/>
      <c r="E47" s="58"/>
      <c r="F47" s="116"/>
      <c r="G47" s="92">
        <f t="shared" si="8"/>
        <v>60</v>
      </c>
      <c r="H47" s="56"/>
      <c r="I47" s="56"/>
      <c r="J47" s="56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5:F41">
    <sortCondition ref="E39:E41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99D9-5659-42E9-AFD7-08736073B487}">
  <sheetPr codeName="Sheet7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'261005'!C5:F5+1</f>
        <v>46301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2">
        <f>'261005'!F8</f>
        <v>0</v>
      </c>
      <c r="F8" s="42">
        <f t="shared" ref="F8:F14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'261005'!L9</f>
        <v>0</v>
      </c>
      <c r="L8" s="42">
        <f t="shared" ref="L8:L13" si="3">I8+K8</f>
        <v>0</v>
      </c>
    </row>
    <row r="9" spans="1:14" ht="21.95" customHeight="1" x14ac:dyDescent="0.3">
      <c r="A9" s="4">
        <v>2</v>
      </c>
      <c r="B9" s="103" t="str">
        <f>'261001'!B9</f>
        <v>관리자</v>
      </c>
      <c r="C9" s="142">
        <f t="shared" si="0"/>
        <v>0</v>
      </c>
      <c r="D9" s="142"/>
      <c r="E9" s="34">
        <f>'261005'!F9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'261005'!L10</f>
        <v>0</v>
      </c>
      <c r="L9" s="34">
        <f t="shared" si="3"/>
        <v>0</v>
      </c>
    </row>
    <row r="10" spans="1:14" ht="21.95" customHeight="1" x14ac:dyDescent="0.3">
      <c r="A10" s="4">
        <v>3</v>
      </c>
      <c r="B10" s="103" t="str">
        <f>'261001'!B10</f>
        <v>직영</v>
      </c>
      <c r="C10" s="142">
        <f t="shared" si="0"/>
        <v>0</v>
      </c>
      <c r="D10" s="142"/>
      <c r="E10" s="34">
        <f>'261005'!F10</f>
        <v>0</v>
      </c>
      <c r="F10" s="34">
        <f t="shared" si="1"/>
        <v>0</v>
      </c>
      <c r="G10" s="8">
        <f t="shared" ref="G10:G14" si="4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'261005'!L11</f>
        <v>0</v>
      </c>
      <c r="L10" s="34">
        <f t="shared" si="3"/>
        <v>0</v>
      </c>
    </row>
    <row r="11" spans="1:14" ht="21.95" customHeight="1" x14ac:dyDescent="0.3">
      <c r="A11" s="4">
        <v>4</v>
      </c>
      <c r="B11" s="103" t="str">
        <f>'261001'!B11</f>
        <v>단열</v>
      </c>
      <c r="C11" s="142">
        <f t="shared" si="0"/>
        <v>0</v>
      </c>
      <c r="D11" s="142"/>
      <c r="E11" s="34">
        <f>'261005'!F11</f>
        <v>0</v>
      </c>
      <c r="F11" s="34">
        <f t="shared" si="1"/>
        <v>0</v>
      </c>
      <c r="G11" s="8">
        <f t="shared" si="4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'261005'!L12</f>
        <v>0</v>
      </c>
      <c r="L11" s="34">
        <f t="shared" si="3"/>
        <v>0</v>
      </c>
    </row>
    <row r="12" spans="1:14" ht="21.95" customHeight="1" x14ac:dyDescent="0.3">
      <c r="A12" s="4">
        <v>5</v>
      </c>
      <c r="B12" s="103" t="str">
        <f>'261001'!B12</f>
        <v>경량</v>
      </c>
      <c r="C12" s="142">
        <f t="shared" si="0"/>
        <v>0</v>
      </c>
      <c r="D12" s="142"/>
      <c r="E12" s="34">
        <f>'261005'!F12</f>
        <v>0</v>
      </c>
      <c r="F12" s="34">
        <f t="shared" si="1"/>
        <v>0</v>
      </c>
      <c r="G12" s="8">
        <f t="shared" si="4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'261005'!L12</f>
        <v>0</v>
      </c>
      <c r="L12" s="34">
        <f t="shared" si="3"/>
        <v>0</v>
      </c>
    </row>
    <row r="13" spans="1:14" ht="21.95" customHeight="1" x14ac:dyDescent="0.3">
      <c r="A13" s="4">
        <v>6</v>
      </c>
      <c r="B13" s="103" t="str">
        <f>'261001'!B13</f>
        <v>합지</v>
      </c>
      <c r="C13" s="142">
        <f t="shared" si="0"/>
        <v>0</v>
      </c>
      <c r="D13" s="142"/>
      <c r="E13" s="34">
        <f>'261005'!F13</f>
        <v>0</v>
      </c>
      <c r="F13" s="34">
        <f t="shared" si="1"/>
        <v>0</v>
      </c>
      <c r="G13" s="8">
        <f t="shared" si="4"/>
        <v>13</v>
      </c>
      <c r="H13" s="32">
        <f>'261001'!H13</f>
        <v>0</v>
      </c>
      <c r="I13" s="142">
        <f t="shared" si="2"/>
        <v>0</v>
      </c>
      <c r="J13" s="142"/>
      <c r="K13" s="34">
        <f>'261005'!L15</f>
        <v>0</v>
      </c>
      <c r="L13" s="34">
        <f t="shared" si="3"/>
        <v>0</v>
      </c>
    </row>
    <row r="14" spans="1:14" ht="21.95" customHeight="1" x14ac:dyDescent="0.3">
      <c r="A14" s="5">
        <v>7</v>
      </c>
      <c r="B14" s="104" t="str">
        <f>'261001'!B14</f>
        <v>천정</v>
      </c>
      <c r="C14" s="150">
        <f t="shared" si="0"/>
        <v>0</v>
      </c>
      <c r="D14" s="150"/>
      <c r="E14" s="40">
        <f>'261005'!F14</f>
        <v>0</v>
      </c>
      <c r="F14" s="99">
        <f t="shared" si="1"/>
        <v>0</v>
      </c>
      <c r="G14" s="9">
        <f t="shared" si="4"/>
        <v>14</v>
      </c>
      <c r="H14" s="33">
        <f>'261001'!H14</f>
        <v>0</v>
      </c>
      <c r="I14" s="150">
        <f t="shared" si="2"/>
        <v>0</v>
      </c>
      <c r="J14" s="150"/>
      <c r="K14" s="40">
        <f>'261005'!L15</f>
        <v>0</v>
      </c>
      <c r="L14" s="40">
        <f t="shared" ref="L14" si="5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58"/>
    </row>
    <row r="19" spans="1:12" ht="20.45" customHeight="1" x14ac:dyDescent="0.3">
      <c r="A19" s="10">
        <f t="shared" ref="A19:A31" si="6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58"/>
    </row>
    <row r="20" spans="1:12" ht="20.45" customHeight="1" x14ac:dyDescent="0.3">
      <c r="A20" s="10">
        <f t="shared" si="6"/>
        <v>3</v>
      </c>
      <c r="B20" s="56"/>
      <c r="C20" s="56"/>
      <c r="D20" s="56"/>
      <c r="E20" s="58"/>
      <c r="F20" s="58"/>
      <c r="G20" s="92">
        <f t="shared" ref="G20:G47" si="7">G19+1</f>
        <v>33</v>
      </c>
      <c r="H20" s="56"/>
      <c r="I20" s="56"/>
      <c r="J20" s="56"/>
      <c r="K20" s="58"/>
      <c r="L20" s="58"/>
    </row>
    <row r="21" spans="1:12" ht="20.45" customHeight="1" x14ac:dyDescent="0.3">
      <c r="A21" s="10">
        <f t="shared" si="6"/>
        <v>4</v>
      </c>
      <c r="B21" s="56"/>
      <c r="C21" s="56"/>
      <c r="D21" s="56"/>
      <c r="E21" s="58"/>
      <c r="F21" s="58"/>
      <c r="G21" s="92">
        <f t="shared" si="7"/>
        <v>34</v>
      </c>
      <c r="H21" s="56"/>
      <c r="I21" s="56"/>
      <c r="J21" s="56"/>
      <c r="K21" s="58"/>
      <c r="L21" s="58"/>
    </row>
    <row r="22" spans="1:12" ht="20.45" customHeight="1" x14ac:dyDescent="0.3">
      <c r="A22" s="10">
        <f t="shared" si="6"/>
        <v>5</v>
      </c>
      <c r="B22" s="56"/>
      <c r="C22" s="56"/>
      <c r="D22" s="56"/>
      <c r="E22" s="58"/>
      <c r="F22" s="58"/>
      <c r="G22" s="92">
        <f t="shared" si="7"/>
        <v>35</v>
      </c>
      <c r="H22" s="56"/>
      <c r="I22" s="56"/>
      <c r="J22" s="56"/>
      <c r="K22" s="58"/>
      <c r="L22" s="58"/>
    </row>
    <row r="23" spans="1:12" ht="20.45" customHeight="1" x14ac:dyDescent="0.3">
      <c r="A23" s="10">
        <f t="shared" si="6"/>
        <v>6</v>
      </c>
      <c r="B23" s="56"/>
      <c r="C23" s="56"/>
      <c r="D23" s="56"/>
      <c r="E23" s="58"/>
      <c r="F23" s="61"/>
      <c r="G23" s="92">
        <f t="shared" si="7"/>
        <v>36</v>
      </c>
      <c r="H23" s="56"/>
      <c r="I23" s="56"/>
      <c r="J23" s="56"/>
      <c r="K23" s="58"/>
      <c r="L23" s="58"/>
    </row>
    <row r="24" spans="1:12" ht="20.45" customHeight="1" x14ac:dyDescent="0.3">
      <c r="A24" s="10">
        <f t="shared" si="6"/>
        <v>7</v>
      </c>
      <c r="B24" s="56"/>
      <c r="C24" s="56"/>
      <c r="D24" s="56"/>
      <c r="E24" s="58"/>
      <c r="F24" s="61"/>
      <c r="G24" s="92">
        <f t="shared" si="7"/>
        <v>37</v>
      </c>
      <c r="H24" s="56"/>
      <c r="I24" s="56"/>
      <c r="J24" s="56"/>
      <c r="K24" s="58"/>
      <c r="L24" s="58"/>
    </row>
    <row r="25" spans="1:12" ht="20.45" customHeight="1" x14ac:dyDescent="0.3">
      <c r="A25" s="10">
        <f t="shared" si="6"/>
        <v>8</v>
      </c>
      <c r="B25" s="56"/>
      <c r="C25" s="56"/>
      <c r="D25" s="56"/>
      <c r="E25" s="58"/>
      <c r="F25" s="61"/>
      <c r="G25" s="92">
        <f t="shared" si="7"/>
        <v>38</v>
      </c>
      <c r="H25" s="56"/>
      <c r="I25" s="56"/>
      <c r="J25" s="56"/>
      <c r="K25" s="58"/>
      <c r="L25" s="58"/>
    </row>
    <row r="26" spans="1:12" ht="20.45" customHeight="1" x14ac:dyDescent="0.3">
      <c r="A26" s="10">
        <f t="shared" si="6"/>
        <v>9</v>
      </c>
      <c r="B26" s="56"/>
      <c r="C26" s="56"/>
      <c r="D26" s="56"/>
      <c r="E26" s="58"/>
      <c r="F26" s="116"/>
      <c r="G26" s="92">
        <f t="shared" si="7"/>
        <v>39</v>
      </c>
      <c r="H26" s="56"/>
      <c r="I26" s="56"/>
      <c r="J26" s="56"/>
      <c r="K26" s="58"/>
      <c r="L26" s="58"/>
    </row>
    <row r="27" spans="1:12" ht="20.45" customHeight="1" x14ac:dyDescent="0.3">
      <c r="A27" s="10">
        <f t="shared" si="6"/>
        <v>10</v>
      </c>
      <c r="B27" s="56"/>
      <c r="C27" s="56"/>
      <c r="D27" s="56"/>
      <c r="E27" s="58"/>
      <c r="F27" s="116"/>
      <c r="G27" s="92">
        <f t="shared" si="7"/>
        <v>40</v>
      </c>
      <c r="H27" s="56"/>
      <c r="I27" s="56"/>
      <c r="J27" s="56"/>
      <c r="K27" s="58"/>
      <c r="L27" s="58"/>
    </row>
    <row r="28" spans="1:12" ht="20.45" customHeight="1" x14ac:dyDescent="0.3">
      <c r="A28" s="10">
        <f t="shared" si="6"/>
        <v>11</v>
      </c>
      <c r="B28" s="59"/>
      <c r="C28" s="59"/>
      <c r="D28" s="59"/>
      <c r="E28" s="119"/>
      <c r="F28" s="120"/>
      <c r="G28" s="92">
        <f t="shared" si="7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6"/>
        <v>12</v>
      </c>
      <c r="B29" s="56"/>
      <c r="C29" s="56"/>
      <c r="D29" s="56"/>
      <c r="E29" s="119"/>
      <c r="F29" s="120"/>
      <c r="G29" s="92">
        <f t="shared" si="7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6"/>
        <v>13</v>
      </c>
      <c r="B30" s="59"/>
      <c r="C30" s="59"/>
      <c r="D30" s="59"/>
      <c r="E30" s="119"/>
      <c r="F30" s="120"/>
      <c r="G30" s="92">
        <f t="shared" si="7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6"/>
        <v>14</v>
      </c>
      <c r="B31" s="56"/>
      <c r="C31" s="56"/>
      <c r="D31" s="56"/>
      <c r="E31" s="58"/>
      <c r="F31" s="58"/>
      <c r="G31" s="92">
        <f t="shared" si="7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58"/>
      <c r="G32" s="92">
        <f t="shared" si="7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8">A32+1</f>
        <v>16</v>
      </c>
      <c r="B33" s="56"/>
      <c r="C33" s="56"/>
      <c r="D33" s="56"/>
      <c r="E33" s="58"/>
      <c r="F33" s="61"/>
      <c r="G33" s="92">
        <f t="shared" si="7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8"/>
        <v>17</v>
      </c>
      <c r="B34" s="56"/>
      <c r="C34" s="56"/>
      <c r="D34" s="56"/>
      <c r="E34" s="58"/>
      <c r="F34" s="61"/>
      <c r="G34" s="92">
        <f t="shared" si="7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8"/>
        <v>18</v>
      </c>
      <c r="B35" s="59"/>
      <c r="C35" s="59"/>
      <c r="D35" s="59"/>
      <c r="E35" s="58"/>
      <c r="F35" s="125"/>
      <c r="G35" s="92">
        <f t="shared" si="7"/>
        <v>48</v>
      </c>
      <c r="H35" s="56"/>
      <c r="I35" s="56"/>
      <c r="J35" s="56"/>
      <c r="K35" s="58"/>
      <c r="L35" s="58"/>
    </row>
    <row r="36" spans="1:12" ht="20.45" customHeight="1" x14ac:dyDescent="0.3">
      <c r="A36" s="10">
        <f t="shared" si="8"/>
        <v>19</v>
      </c>
      <c r="B36" s="56"/>
      <c r="C36" s="56"/>
      <c r="D36" s="56"/>
      <c r="E36" s="58"/>
      <c r="F36" s="116"/>
      <c r="G36" s="92">
        <f t="shared" si="7"/>
        <v>49</v>
      </c>
      <c r="H36" s="56"/>
      <c r="I36" s="56"/>
      <c r="J36" s="56"/>
      <c r="K36" s="58"/>
      <c r="L36" s="58"/>
    </row>
    <row r="37" spans="1:12" ht="20.45" customHeight="1" x14ac:dyDescent="0.3">
      <c r="A37" s="10">
        <f t="shared" si="8"/>
        <v>20</v>
      </c>
      <c r="B37" s="56"/>
      <c r="C37" s="56"/>
      <c r="D37" s="56"/>
      <c r="E37" s="58"/>
      <c r="F37" s="116"/>
      <c r="G37" s="92">
        <f t="shared" si="7"/>
        <v>50</v>
      </c>
      <c r="H37" s="56"/>
      <c r="I37" s="56"/>
      <c r="J37" s="56"/>
      <c r="K37" s="58"/>
      <c r="L37" s="58"/>
    </row>
    <row r="38" spans="1:12" ht="20.45" customHeight="1" x14ac:dyDescent="0.3">
      <c r="A38" s="10">
        <f t="shared" si="8"/>
        <v>21</v>
      </c>
      <c r="B38" s="56"/>
      <c r="C38" s="56"/>
      <c r="D38" s="56"/>
      <c r="E38" s="58"/>
      <c r="F38" s="116"/>
      <c r="G38" s="92">
        <f t="shared" si="7"/>
        <v>51</v>
      </c>
      <c r="H38" s="56"/>
      <c r="I38" s="56"/>
      <c r="J38" s="56"/>
      <c r="K38" s="58"/>
      <c r="L38" s="61"/>
    </row>
    <row r="39" spans="1:12" ht="20.45" customHeight="1" x14ac:dyDescent="0.3">
      <c r="A39" s="10">
        <f t="shared" si="8"/>
        <v>22</v>
      </c>
      <c r="B39" s="56"/>
      <c r="C39" s="56"/>
      <c r="D39" s="56"/>
      <c r="E39" s="58"/>
      <c r="F39" s="116"/>
      <c r="G39" s="92">
        <f t="shared" si="7"/>
        <v>52</v>
      </c>
      <c r="H39" s="56"/>
      <c r="I39" s="56"/>
      <c r="J39" s="56"/>
      <c r="K39" s="58"/>
      <c r="L39" s="61"/>
    </row>
    <row r="40" spans="1:12" ht="20.45" customHeight="1" x14ac:dyDescent="0.3">
      <c r="A40" s="10">
        <f t="shared" si="8"/>
        <v>23</v>
      </c>
      <c r="B40" s="56"/>
      <c r="C40" s="56"/>
      <c r="D40" s="56"/>
      <c r="E40" s="58"/>
      <c r="F40" s="61"/>
      <c r="G40" s="92">
        <f t="shared" si="7"/>
        <v>53</v>
      </c>
      <c r="H40" s="56"/>
      <c r="I40" s="56"/>
      <c r="J40" s="56"/>
      <c r="K40" s="58"/>
      <c r="L40" s="61"/>
    </row>
    <row r="41" spans="1:12" ht="20.45" customHeight="1" x14ac:dyDescent="0.3">
      <c r="A41" s="10">
        <f t="shared" si="8"/>
        <v>24</v>
      </c>
      <c r="B41" s="56"/>
      <c r="C41" s="56"/>
      <c r="D41" s="56"/>
      <c r="E41" s="58"/>
      <c r="F41" s="61"/>
      <c r="G41" s="92">
        <f t="shared" si="7"/>
        <v>54</v>
      </c>
      <c r="H41" s="56"/>
      <c r="I41" s="56"/>
      <c r="J41" s="56"/>
      <c r="K41" s="58"/>
      <c r="L41" s="61"/>
    </row>
    <row r="42" spans="1:12" ht="20.45" customHeight="1" x14ac:dyDescent="0.3">
      <c r="A42" s="10">
        <f t="shared" si="8"/>
        <v>25</v>
      </c>
      <c r="B42" s="56"/>
      <c r="C42" s="56"/>
      <c r="D42" s="56"/>
      <c r="E42" s="58"/>
      <c r="F42" s="61"/>
      <c r="G42" s="92">
        <f t="shared" si="7"/>
        <v>55</v>
      </c>
      <c r="H42" s="56"/>
      <c r="I42" s="56"/>
      <c r="J42" s="56"/>
      <c r="K42" s="58"/>
      <c r="L42" s="61"/>
    </row>
    <row r="43" spans="1:12" ht="20.45" customHeight="1" x14ac:dyDescent="0.3">
      <c r="A43" s="10">
        <f t="shared" si="8"/>
        <v>26</v>
      </c>
      <c r="B43" s="56"/>
      <c r="C43" s="56"/>
      <c r="D43" s="56"/>
      <c r="E43" s="58"/>
      <c r="F43" s="61"/>
      <c r="G43" s="92">
        <f t="shared" si="7"/>
        <v>56</v>
      </c>
      <c r="H43" s="56"/>
      <c r="I43" s="56"/>
      <c r="J43" s="56"/>
      <c r="K43" s="58"/>
      <c r="L43" s="61"/>
    </row>
    <row r="44" spans="1:12" ht="20.45" customHeight="1" x14ac:dyDescent="0.3">
      <c r="A44" s="10">
        <f t="shared" si="8"/>
        <v>27</v>
      </c>
      <c r="B44" s="56"/>
      <c r="C44" s="56"/>
      <c r="D44" s="56"/>
      <c r="E44" s="58"/>
      <c r="F44" s="61"/>
      <c r="G44" s="92">
        <f t="shared" si="7"/>
        <v>57</v>
      </c>
      <c r="H44" s="56"/>
      <c r="I44" s="56"/>
      <c r="J44" s="56"/>
      <c r="K44" s="58"/>
      <c r="L44" s="61"/>
    </row>
    <row r="45" spans="1:12" ht="20.45" customHeight="1" x14ac:dyDescent="0.3">
      <c r="A45" s="10">
        <f t="shared" si="8"/>
        <v>28</v>
      </c>
      <c r="B45" s="56"/>
      <c r="C45" s="56"/>
      <c r="D45" s="56"/>
      <c r="E45" s="58"/>
      <c r="F45" s="61"/>
      <c r="G45" s="92">
        <f t="shared" si="7"/>
        <v>58</v>
      </c>
      <c r="H45" s="56"/>
      <c r="I45" s="56"/>
      <c r="J45" s="56"/>
      <c r="K45" s="58"/>
      <c r="L45" s="61"/>
    </row>
    <row r="46" spans="1:12" ht="20.45" customHeight="1" x14ac:dyDescent="0.3">
      <c r="A46" s="10">
        <f t="shared" si="8"/>
        <v>29</v>
      </c>
      <c r="B46" s="56"/>
      <c r="C46" s="56"/>
      <c r="D46" s="56"/>
      <c r="E46" s="58"/>
      <c r="F46" s="61"/>
      <c r="G46" s="92">
        <f t="shared" si="7"/>
        <v>59</v>
      </c>
      <c r="H46" s="56"/>
      <c r="I46" s="56"/>
      <c r="J46" s="56"/>
      <c r="K46" s="58"/>
      <c r="L46" s="61"/>
    </row>
    <row r="47" spans="1:12" ht="20.45" customHeight="1" x14ac:dyDescent="0.3">
      <c r="A47" s="10">
        <f t="shared" si="8"/>
        <v>30</v>
      </c>
      <c r="B47" s="56"/>
      <c r="C47" s="56"/>
      <c r="D47" s="56"/>
      <c r="E47" s="58"/>
      <c r="F47" s="58"/>
      <c r="G47" s="92">
        <f t="shared" si="7"/>
        <v>60</v>
      </c>
      <c r="H47" s="56"/>
      <c r="I47" s="56"/>
      <c r="J47" s="56"/>
      <c r="K47" s="58"/>
      <c r="L47" s="61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1:F35">
    <sortCondition ref="E30:E35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EA915-2E4E-40D5-B115-6E6FDBE3A9AF}">
  <sheetPr codeName="Sheet8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'261006'!C5:F5+1</f>
        <v>46302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'261006'!F8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'261006'!L8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'261006'!F9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'261006'!L9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'261006'!F10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'261006'!L10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'261006'!F11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'261006'!L11</f>
        <v>0</v>
      </c>
      <c r="L11" s="34">
        <f t="shared" si="3"/>
        <v>0</v>
      </c>
    </row>
    <row r="12" spans="1:14" ht="21.95" customHeight="1" x14ac:dyDescent="0.3">
      <c r="A12" s="100">
        <f t="shared" si="4"/>
        <v>5</v>
      </c>
      <c r="B12" s="105" t="str">
        <f>'261001'!B12</f>
        <v>경량</v>
      </c>
      <c r="C12" s="151">
        <f t="shared" si="0"/>
        <v>0</v>
      </c>
      <c r="D12" s="151"/>
      <c r="E12" s="98">
        <f>'261006'!F12</f>
        <v>0</v>
      </c>
      <c r="F12" s="97">
        <f t="shared" si="1"/>
        <v>0</v>
      </c>
      <c r="G12" s="106">
        <f t="shared" si="5"/>
        <v>12</v>
      </c>
      <c r="H12" s="101" t="str">
        <f>'261001'!H12</f>
        <v>큐비클</v>
      </c>
      <c r="I12" s="151">
        <f t="shared" si="2"/>
        <v>0</v>
      </c>
      <c r="J12" s="151"/>
      <c r="K12" s="97">
        <f>'261006'!L12</f>
        <v>0</v>
      </c>
      <c r="L12" s="97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'261006'!F13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'261006'!L13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'261006'!F14</f>
        <v>0</v>
      </c>
      <c r="F14" s="99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'261006'!L14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58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58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58"/>
      <c r="G20" s="11">
        <f t="shared" ref="G20:G47" si="9">G19+1</f>
        <v>33</v>
      </c>
      <c r="H20" s="56"/>
      <c r="I20" s="56"/>
      <c r="J20" s="56"/>
      <c r="K20" s="58"/>
      <c r="L20" s="58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125"/>
      <c r="G21" s="11">
        <f t="shared" si="9"/>
        <v>34</v>
      </c>
      <c r="H21" s="56"/>
      <c r="I21" s="56"/>
      <c r="J21" s="56"/>
      <c r="K21" s="58"/>
      <c r="L21" s="58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58"/>
      <c r="G22" s="11">
        <f t="shared" si="9"/>
        <v>35</v>
      </c>
      <c r="H22" s="56"/>
      <c r="I22" s="56"/>
      <c r="J22" s="56"/>
      <c r="K22" s="58"/>
      <c r="L22" s="58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58"/>
      <c r="G23" s="11">
        <f t="shared" si="9"/>
        <v>36</v>
      </c>
      <c r="H23" s="56"/>
      <c r="I23" s="56"/>
      <c r="J23" s="56"/>
      <c r="K23" s="58"/>
      <c r="L23" s="58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58"/>
      <c r="G24" s="11">
        <f t="shared" si="9"/>
        <v>37</v>
      </c>
      <c r="H24" s="56"/>
      <c r="I24" s="56"/>
      <c r="J24" s="56"/>
      <c r="K24" s="58"/>
      <c r="L24" s="58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58"/>
      <c r="G25" s="11">
        <f t="shared" si="9"/>
        <v>38</v>
      </c>
      <c r="H25" s="56"/>
      <c r="I25" s="56"/>
      <c r="J25" s="56"/>
      <c r="K25" s="58"/>
      <c r="L25" s="58"/>
    </row>
    <row r="26" spans="1:12" ht="20.45" customHeight="1" x14ac:dyDescent="0.3">
      <c r="A26" s="10">
        <f t="shared" si="8"/>
        <v>9</v>
      </c>
      <c r="B26" s="56"/>
      <c r="C26" s="56"/>
      <c r="D26" s="56"/>
      <c r="E26" s="58"/>
      <c r="F26" s="58"/>
      <c r="G26" s="11">
        <f t="shared" si="9"/>
        <v>39</v>
      </c>
      <c r="H26" s="56"/>
      <c r="I26" s="56"/>
      <c r="J26" s="56"/>
      <c r="K26" s="58"/>
      <c r="L26" s="58"/>
    </row>
    <row r="27" spans="1:12" ht="20.45" customHeight="1" x14ac:dyDescent="0.3">
      <c r="A27" s="10">
        <f t="shared" si="8"/>
        <v>10</v>
      </c>
      <c r="B27" s="56"/>
      <c r="C27" s="56"/>
      <c r="D27" s="56"/>
      <c r="E27" s="58"/>
      <c r="F27" s="58"/>
      <c r="G27" s="11">
        <f t="shared" si="9"/>
        <v>40</v>
      </c>
      <c r="H27" s="56"/>
      <c r="I27" s="56"/>
      <c r="J27" s="56"/>
      <c r="K27" s="58"/>
      <c r="L27" s="58"/>
    </row>
    <row r="28" spans="1:12" ht="20.45" customHeight="1" x14ac:dyDescent="0.3">
      <c r="A28" s="10">
        <f t="shared" si="8"/>
        <v>11</v>
      </c>
      <c r="B28" s="59"/>
      <c r="C28" s="59"/>
      <c r="D28" s="59"/>
      <c r="E28" s="119"/>
      <c r="F28" s="120"/>
      <c r="G28" s="11">
        <f t="shared" si="9"/>
        <v>41</v>
      </c>
      <c r="H28" s="56"/>
      <c r="I28" s="56"/>
      <c r="J28" s="56"/>
      <c r="K28" s="58"/>
      <c r="L28" s="58"/>
    </row>
    <row r="29" spans="1:12" ht="20.45" customHeight="1" x14ac:dyDescent="0.3">
      <c r="A29" s="10">
        <f t="shared" si="8"/>
        <v>12</v>
      </c>
      <c r="B29" s="56"/>
      <c r="C29" s="56"/>
      <c r="D29" s="56"/>
      <c r="E29" s="119"/>
      <c r="F29" s="120"/>
      <c r="G29" s="11">
        <f t="shared" si="9"/>
        <v>42</v>
      </c>
      <c r="H29" s="56"/>
      <c r="I29" s="56"/>
      <c r="J29" s="56"/>
      <c r="K29" s="58"/>
      <c r="L29" s="58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116"/>
      <c r="G30" s="11">
        <f t="shared" si="9"/>
        <v>43</v>
      </c>
      <c r="H30" s="56"/>
      <c r="I30" s="56"/>
      <c r="J30" s="56"/>
      <c r="K30" s="58"/>
      <c r="L30" s="58"/>
    </row>
    <row r="31" spans="1:12" ht="20.45" customHeight="1" x14ac:dyDescent="0.3">
      <c r="A31" s="10">
        <f t="shared" si="8"/>
        <v>14</v>
      </c>
      <c r="B31" s="56"/>
      <c r="C31" s="56"/>
      <c r="D31" s="56"/>
      <c r="E31" s="58"/>
      <c r="F31" s="116"/>
      <c r="G31" s="11">
        <f t="shared" si="9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58"/>
      <c r="G32" s="11">
        <f t="shared" si="9"/>
        <v>45</v>
      </c>
      <c r="H32" s="56"/>
      <c r="I32" s="56"/>
      <c r="J32" s="56"/>
      <c r="K32" s="58"/>
      <c r="L32" s="58"/>
    </row>
    <row r="33" spans="1:12" ht="20.45" customHeight="1" x14ac:dyDescent="0.3">
      <c r="A33" s="10">
        <f t="shared" ref="A33:A47" si="10">A32+1</f>
        <v>16</v>
      </c>
      <c r="B33" s="56"/>
      <c r="C33" s="56"/>
      <c r="D33" s="56"/>
      <c r="E33" s="58"/>
      <c r="F33" s="61"/>
      <c r="G33" s="11">
        <f t="shared" si="9"/>
        <v>46</v>
      </c>
      <c r="H33" s="56"/>
      <c r="I33" s="56"/>
      <c r="J33" s="56"/>
      <c r="K33" s="58"/>
      <c r="L33" s="58"/>
    </row>
    <row r="34" spans="1:12" ht="20.45" customHeight="1" x14ac:dyDescent="0.3">
      <c r="A34" s="10">
        <f t="shared" si="10"/>
        <v>17</v>
      </c>
      <c r="B34" s="56"/>
      <c r="C34" s="56"/>
      <c r="D34" s="56"/>
      <c r="E34" s="58"/>
      <c r="F34" s="61"/>
      <c r="G34" s="11">
        <f t="shared" si="9"/>
        <v>47</v>
      </c>
      <c r="H34" s="56"/>
      <c r="I34" s="56"/>
      <c r="J34" s="56"/>
      <c r="K34" s="58"/>
      <c r="L34" s="58"/>
    </row>
    <row r="35" spans="1:12" ht="20.45" customHeight="1" x14ac:dyDescent="0.3">
      <c r="A35" s="10">
        <f t="shared" si="10"/>
        <v>18</v>
      </c>
      <c r="B35" s="59"/>
      <c r="C35" s="59"/>
      <c r="D35" s="59"/>
      <c r="E35" s="58"/>
      <c r="F35" s="125"/>
      <c r="G35" s="11">
        <f t="shared" si="9"/>
        <v>48</v>
      </c>
      <c r="H35" s="56"/>
      <c r="I35" s="56"/>
      <c r="J35" s="56"/>
      <c r="K35" s="58"/>
      <c r="L35" s="58"/>
    </row>
    <row r="36" spans="1:12" ht="20.45" customHeight="1" x14ac:dyDescent="0.3">
      <c r="A36" s="10">
        <f t="shared" si="10"/>
        <v>19</v>
      </c>
      <c r="B36" s="56"/>
      <c r="C36" s="56"/>
      <c r="D36" s="56"/>
      <c r="E36" s="58"/>
      <c r="F36" s="116"/>
      <c r="G36" s="11">
        <f t="shared" si="9"/>
        <v>49</v>
      </c>
      <c r="H36" s="56"/>
      <c r="I36" s="56"/>
      <c r="J36" s="56"/>
      <c r="K36" s="58"/>
      <c r="L36" s="58"/>
    </row>
    <row r="37" spans="1:12" ht="20.45" customHeight="1" x14ac:dyDescent="0.3">
      <c r="A37" s="10">
        <f t="shared" si="10"/>
        <v>20</v>
      </c>
      <c r="B37" s="56"/>
      <c r="C37" s="56"/>
      <c r="D37" s="56"/>
      <c r="E37" s="58"/>
      <c r="F37" s="116"/>
      <c r="G37" s="11">
        <f t="shared" si="9"/>
        <v>50</v>
      </c>
      <c r="H37" s="56"/>
      <c r="I37" s="56"/>
      <c r="J37" s="56"/>
      <c r="K37" s="58"/>
      <c r="L37" s="58"/>
    </row>
    <row r="38" spans="1:12" ht="20.45" customHeight="1" x14ac:dyDescent="0.3">
      <c r="A38" s="10">
        <f t="shared" si="10"/>
        <v>21</v>
      </c>
      <c r="B38" s="56"/>
      <c r="C38" s="56"/>
      <c r="D38" s="56"/>
      <c r="E38" s="58"/>
      <c r="F38" s="116"/>
      <c r="G38" s="11">
        <f t="shared" si="9"/>
        <v>51</v>
      </c>
      <c r="H38" s="56"/>
      <c r="I38" s="56"/>
      <c r="J38" s="56"/>
      <c r="K38" s="58"/>
      <c r="L38" s="58"/>
    </row>
    <row r="39" spans="1:12" ht="20.45" customHeight="1" x14ac:dyDescent="0.3">
      <c r="A39" s="10">
        <f t="shared" si="10"/>
        <v>22</v>
      </c>
      <c r="B39" s="56"/>
      <c r="C39" s="56"/>
      <c r="D39" s="56"/>
      <c r="E39" s="58"/>
      <c r="F39" s="116"/>
      <c r="G39" s="11">
        <f t="shared" si="9"/>
        <v>52</v>
      </c>
      <c r="H39" s="56"/>
      <c r="I39" s="56"/>
      <c r="J39" s="56"/>
      <c r="K39" s="58"/>
      <c r="L39" s="61"/>
    </row>
    <row r="40" spans="1:12" ht="20.45" customHeight="1" x14ac:dyDescent="0.3">
      <c r="A40" s="10">
        <f t="shared" si="10"/>
        <v>23</v>
      </c>
      <c r="B40" s="56"/>
      <c r="C40" s="56"/>
      <c r="D40" s="56"/>
      <c r="E40" s="58"/>
      <c r="F40" s="61"/>
      <c r="G40" s="11">
        <f t="shared" si="9"/>
        <v>53</v>
      </c>
      <c r="H40" s="56"/>
      <c r="I40" s="56"/>
      <c r="J40" s="56"/>
      <c r="K40" s="58"/>
      <c r="L40" s="61"/>
    </row>
    <row r="41" spans="1:12" ht="20.45" customHeight="1" x14ac:dyDescent="0.3">
      <c r="A41" s="10">
        <f t="shared" si="10"/>
        <v>24</v>
      </c>
      <c r="B41" s="56"/>
      <c r="C41" s="56"/>
      <c r="D41" s="56"/>
      <c r="E41" s="58"/>
      <c r="F41" s="61"/>
      <c r="G41" s="11">
        <f t="shared" si="9"/>
        <v>54</v>
      </c>
      <c r="H41" s="56"/>
      <c r="I41" s="56"/>
      <c r="J41" s="56"/>
      <c r="K41" s="58"/>
      <c r="L41" s="61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61"/>
      <c r="G42" s="11">
        <f t="shared" si="9"/>
        <v>55</v>
      </c>
      <c r="H42" s="56"/>
      <c r="I42" s="56"/>
      <c r="J42" s="56"/>
      <c r="K42" s="58"/>
      <c r="L42" s="58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61"/>
      <c r="G43" s="11">
        <f t="shared" si="9"/>
        <v>56</v>
      </c>
      <c r="H43" s="56"/>
      <c r="I43" s="56"/>
      <c r="J43" s="56"/>
      <c r="K43" s="58"/>
      <c r="L43" s="58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61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61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61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0">
        <f t="shared" si="10"/>
        <v>30</v>
      </c>
      <c r="B47" s="56"/>
      <c r="C47" s="56"/>
      <c r="D47" s="56"/>
      <c r="E47" s="58"/>
      <c r="F47" s="58"/>
      <c r="G47" s="11">
        <f t="shared" si="9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5:F36">
    <sortCondition ref="E25:E36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3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EB478-6120-4816-975C-733B7674F19D}">
  <sheetPr codeName="Sheet9">
    <tabColor rgb="FFFFFFFF"/>
  </sheetPr>
  <dimension ref="A1:N52"/>
  <sheetViews>
    <sheetView showGridLines="0" view="pageBreakPreview" zoomScaleNormal="100" zoomScaleSheetLayoutView="100" workbookViewId="0">
      <selection activeCell="A3" sqref="A1:L17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'261007'!C5:F5+1</f>
        <v>46303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'261007'!F8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'261007'!L8</f>
        <v>0</v>
      </c>
      <c r="L8" s="42">
        <f t="shared" ref="L8:L13" si="3">I8+K8</f>
        <v>0</v>
      </c>
    </row>
    <row r="9" spans="1:14" ht="21.95" customHeight="1" x14ac:dyDescent="0.3">
      <c r="A9" s="4">
        <v>2</v>
      </c>
      <c r="B9" s="103" t="str">
        <f>'261001'!B9</f>
        <v>관리자</v>
      </c>
      <c r="C9" s="142">
        <f t="shared" si="0"/>
        <v>0</v>
      </c>
      <c r="D9" s="142"/>
      <c r="E9" s="38">
        <f>'261007'!F9</f>
        <v>0</v>
      </c>
      <c r="F9" s="34">
        <f t="shared" si="1"/>
        <v>0</v>
      </c>
      <c r="G9" s="8">
        <v>9</v>
      </c>
      <c r="H9" s="32" t="str">
        <f>'261001'!H9</f>
        <v>수장</v>
      </c>
      <c r="I9" s="142">
        <f t="shared" si="2"/>
        <v>0</v>
      </c>
      <c r="J9" s="142"/>
      <c r="K9" s="34">
        <f>'261007'!L9</f>
        <v>0</v>
      </c>
      <c r="L9" s="34">
        <f t="shared" si="3"/>
        <v>0</v>
      </c>
    </row>
    <row r="10" spans="1:14" ht="21.95" customHeight="1" x14ac:dyDescent="0.3">
      <c r="A10" s="4">
        <v>3</v>
      </c>
      <c r="B10" s="103" t="str">
        <f>'261001'!B10</f>
        <v>직영</v>
      </c>
      <c r="C10" s="142">
        <f t="shared" si="0"/>
        <v>0</v>
      </c>
      <c r="D10" s="142"/>
      <c r="E10" s="38">
        <f>'261007'!F10</f>
        <v>0</v>
      </c>
      <c r="F10" s="34">
        <f t="shared" si="1"/>
        <v>0</v>
      </c>
      <c r="G10" s="8"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'261007'!L10</f>
        <v>0</v>
      </c>
      <c r="L10" s="34">
        <f t="shared" si="3"/>
        <v>0</v>
      </c>
    </row>
    <row r="11" spans="1:14" ht="21.95" customHeight="1" x14ac:dyDescent="0.3">
      <c r="A11" s="4">
        <v>4</v>
      </c>
      <c r="B11" s="103" t="str">
        <f>'261001'!B11</f>
        <v>단열</v>
      </c>
      <c r="C11" s="142">
        <f t="shared" si="0"/>
        <v>0</v>
      </c>
      <c r="D11" s="142"/>
      <c r="E11" s="38">
        <f>'261007'!F11</f>
        <v>0</v>
      </c>
      <c r="F11" s="34">
        <f t="shared" si="1"/>
        <v>0</v>
      </c>
      <c r="G11" s="8">
        <f>G10+1</f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'261007'!L11</f>
        <v>0</v>
      </c>
      <c r="L11" s="34">
        <f t="shared" si="3"/>
        <v>0</v>
      </c>
    </row>
    <row r="12" spans="1:14" ht="21.95" customHeight="1" x14ac:dyDescent="0.3">
      <c r="A12" s="4">
        <v>5</v>
      </c>
      <c r="B12" s="103" t="str">
        <f>'261001'!B12</f>
        <v>경량</v>
      </c>
      <c r="C12" s="142">
        <f t="shared" si="0"/>
        <v>0</v>
      </c>
      <c r="D12" s="142"/>
      <c r="E12" s="38">
        <f>'261007'!F12</f>
        <v>0</v>
      </c>
      <c r="F12" s="34">
        <f t="shared" si="1"/>
        <v>0</v>
      </c>
      <c r="G12" s="8">
        <f>G11+1</f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'261007'!L12</f>
        <v>0</v>
      </c>
      <c r="L12" s="34">
        <f t="shared" si="3"/>
        <v>0</v>
      </c>
    </row>
    <row r="13" spans="1:14" ht="21.95" customHeight="1" x14ac:dyDescent="0.3">
      <c r="A13" s="4">
        <v>6</v>
      </c>
      <c r="B13" s="103" t="str">
        <f>'261001'!B13</f>
        <v>합지</v>
      </c>
      <c r="C13" s="142">
        <f t="shared" si="0"/>
        <v>0</v>
      </c>
      <c r="D13" s="142"/>
      <c r="E13" s="38">
        <f>'261007'!F13</f>
        <v>0</v>
      </c>
      <c r="F13" s="34">
        <f t="shared" si="1"/>
        <v>0</v>
      </c>
      <c r="G13" s="8">
        <f>G12+1</f>
        <v>13</v>
      </c>
      <c r="H13" s="32">
        <f>'261001'!H13</f>
        <v>0</v>
      </c>
      <c r="I13" s="142">
        <f t="shared" si="2"/>
        <v>0</v>
      </c>
      <c r="J13" s="142"/>
      <c r="K13" s="34">
        <f>'261007'!L13</f>
        <v>0</v>
      </c>
      <c r="L13" s="34">
        <f t="shared" si="3"/>
        <v>0</v>
      </c>
    </row>
    <row r="14" spans="1:14" ht="21.95" customHeight="1" x14ac:dyDescent="0.3">
      <c r="A14" s="5">
        <v>7</v>
      </c>
      <c r="B14" s="104" t="str">
        <f>'261001'!B14</f>
        <v>천정</v>
      </c>
      <c r="C14" s="150">
        <f t="shared" si="0"/>
        <v>0</v>
      </c>
      <c r="D14" s="150"/>
      <c r="E14" s="39">
        <f>'261007'!F14</f>
        <v>0</v>
      </c>
      <c r="F14" s="40">
        <f t="shared" ref="F14" si="4">C14+E14</f>
        <v>0</v>
      </c>
      <c r="G14" s="9">
        <f>G13+1</f>
        <v>14</v>
      </c>
      <c r="H14" s="33">
        <f>'261001'!H14</f>
        <v>0</v>
      </c>
      <c r="I14" s="150">
        <f t="shared" si="2"/>
        <v>0</v>
      </c>
      <c r="J14" s="150"/>
      <c r="K14" s="40">
        <f>'261007'!L14</f>
        <v>0</v>
      </c>
      <c r="L14" s="40">
        <f t="shared" ref="L14" si="5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58"/>
    </row>
    <row r="19" spans="1:12" ht="20.45" customHeight="1" x14ac:dyDescent="0.3">
      <c r="A19" s="10">
        <f t="shared" ref="A19:A31" si="6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58"/>
    </row>
    <row r="20" spans="1:12" ht="20.45" customHeight="1" x14ac:dyDescent="0.3">
      <c r="A20" s="10">
        <f t="shared" si="6"/>
        <v>3</v>
      </c>
      <c r="B20" s="56"/>
      <c r="C20" s="56"/>
      <c r="D20" s="56"/>
      <c r="E20" s="58"/>
      <c r="F20" s="58"/>
      <c r="G20" s="11">
        <f t="shared" ref="G20:G47" si="7">G19+1</f>
        <v>33</v>
      </c>
      <c r="H20" s="56"/>
      <c r="I20" s="56"/>
      <c r="J20" s="56"/>
      <c r="K20" s="58"/>
      <c r="L20" s="58"/>
    </row>
    <row r="21" spans="1:12" ht="20.45" customHeight="1" x14ac:dyDescent="0.3">
      <c r="A21" s="10">
        <f t="shared" si="6"/>
        <v>4</v>
      </c>
      <c r="B21" s="56"/>
      <c r="C21" s="56"/>
      <c r="D21" s="56"/>
      <c r="E21" s="58"/>
      <c r="F21" s="125"/>
      <c r="G21" s="11">
        <f t="shared" si="7"/>
        <v>34</v>
      </c>
      <c r="H21" s="56"/>
      <c r="I21" s="56"/>
      <c r="J21" s="56"/>
      <c r="K21" s="58"/>
      <c r="L21" s="58"/>
    </row>
    <row r="22" spans="1:12" ht="20.45" customHeight="1" x14ac:dyDescent="0.3">
      <c r="A22" s="10">
        <f t="shared" si="6"/>
        <v>5</v>
      </c>
      <c r="B22" s="56"/>
      <c r="C22" s="56"/>
      <c r="D22" s="56"/>
      <c r="E22" s="58"/>
      <c r="F22" s="58"/>
      <c r="G22" s="11">
        <f t="shared" si="7"/>
        <v>35</v>
      </c>
      <c r="H22" s="56"/>
      <c r="I22" s="56"/>
      <c r="J22" s="56"/>
      <c r="K22" s="58"/>
      <c r="L22" s="58"/>
    </row>
    <row r="23" spans="1:12" ht="20.45" customHeight="1" x14ac:dyDescent="0.3">
      <c r="A23" s="10">
        <f t="shared" si="6"/>
        <v>6</v>
      </c>
      <c r="B23" s="56"/>
      <c r="C23" s="56"/>
      <c r="D23" s="56"/>
      <c r="E23" s="58"/>
      <c r="F23" s="58"/>
      <c r="G23" s="11">
        <f t="shared" si="7"/>
        <v>36</v>
      </c>
      <c r="H23" s="56"/>
      <c r="I23" s="56"/>
      <c r="J23" s="56"/>
      <c r="K23" s="58"/>
      <c r="L23" s="58"/>
    </row>
    <row r="24" spans="1:12" ht="20.45" customHeight="1" x14ac:dyDescent="0.3">
      <c r="A24" s="10">
        <f t="shared" si="6"/>
        <v>7</v>
      </c>
      <c r="B24" s="56"/>
      <c r="C24" s="56"/>
      <c r="D24" s="56"/>
      <c r="E24" s="58"/>
      <c r="F24" s="58"/>
      <c r="G24" s="11">
        <f t="shared" si="7"/>
        <v>37</v>
      </c>
      <c r="H24" s="56"/>
      <c r="I24" s="56"/>
      <c r="J24" s="56"/>
      <c r="K24" s="58"/>
      <c r="L24" s="58"/>
    </row>
    <row r="25" spans="1:12" ht="20.45" customHeight="1" x14ac:dyDescent="0.3">
      <c r="A25" s="10">
        <f t="shared" si="6"/>
        <v>8</v>
      </c>
      <c r="B25" s="56"/>
      <c r="C25" s="56"/>
      <c r="D25" s="56"/>
      <c r="E25" s="58"/>
      <c r="F25" s="58"/>
      <c r="G25" s="11">
        <f t="shared" si="7"/>
        <v>38</v>
      </c>
      <c r="H25" s="56"/>
      <c r="I25" s="56"/>
      <c r="J25" s="56"/>
      <c r="K25" s="58"/>
      <c r="L25" s="58"/>
    </row>
    <row r="26" spans="1:12" ht="20.45" customHeight="1" x14ac:dyDescent="0.3">
      <c r="A26" s="10">
        <f t="shared" si="6"/>
        <v>9</v>
      </c>
      <c r="B26" s="56"/>
      <c r="C26" s="56"/>
      <c r="D26" s="56"/>
      <c r="E26" s="58"/>
      <c r="F26" s="116"/>
      <c r="G26" s="11">
        <f t="shared" si="7"/>
        <v>39</v>
      </c>
      <c r="H26" s="56"/>
      <c r="I26" s="56"/>
      <c r="J26" s="56"/>
      <c r="K26" s="58"/>
      <c r="L26" s="58"/>
    </row>
    <row r="27" spans="1:12" ht="20.45" customHeight="1" x14ac:dyDescent="0.3">
      <c r="A27" s="10">
        <f t="shared" si="6"/>
        <v>10</v>
      </c>
      <c r="B27" s="56"/>
      <c r="C27" s="56"/>
      <c r="D27" s="56"/>
      <c r="E27" s="58"/>
      <c r="F27" s="116"/>
      <c r="G27" s="11">
        <f t="shared" si="7"/>
        <v>40</v>
      </c>
      <c r="H27" s="56"/>
      <c r="I27" s="56"/>
      <c r="J27" s="56"/>
      <c r="K27" s="58"/>
      <c r="L27" s="58"/>
    </row>
    <row r="28" spans="1:12" ht="20.45" customHeight="1" x14ac:dyDescent="0.3">
      <c r="A28" s="10">
        <f t="shared" si="6"/>
        <v>11</v>
      </c>
      <c r="B28" s="59"/>
      <c r="C28" s="59"/>
      <c r="D28" s="59"/>
      <c r="E28" s="119"/>
      <c r="F28" s="120"/>
      <c r="G28" s="11">
        <f t="shared" si="7"/>
        <v>41</v>
      </c>
      <c r="H28" s="56"/>
      <c r="I28" s="56"/>
      <c r="J28" s="56"/>
      <c r="K28" s="58"/>
      <c r="L28" s="58"/>
    </row>
    <row r="29" spans="1:12" ht="20.45" customHeight="1" x14ac:dyDescent="0.3">
      <c r="A29" s="10">
        <f t="shared" si="6"/>
        <v>12</v>
      </c>
      <c r="B29" s="56"/>
      <c r="C29" s="56"/>
      <c r="D29" s="56"/>
      <c r="E29" s="119"/>
      <c r="F29" s="120"/>
      <c r="G29" s="11">
        <f t="shared" si="7"/>
        <v>42</v>
      </c>
      <c r="H29" s="56"/>
      <c r="I29" s="56"/>
      <c r="J29" s="56"/>
      <c r="K29" s="58"/>
      <c r="L29" s="58"/>
    </row>
    <row r="30" spans="1:12" ht="20.45" customHeight="1" x14ac:dyDescent="0.3">
      <c r="A30" s="10">
        <f t="shared" si="6"/>
        <v>13</v>
      </c>
      <c r="B30" s="56"/>
      <c r="C30" s="56"/>
      <c r="D30" s="56"/>
      <c r="E30" s="58"/>
      <c r="F30" s="58"/>
      <c r="G30" s="11">
        <f t="shared" si="7"/>
        <v>43</v>
      </c>
      <c r="H30" s="56"/>
      <c r="I30" s="56"/>
      <c r="J30" s="56"/>
      <c r="K30" s="58"/>
      <c r="L30" s="58"/>
    </row>
    <row r="31" spans="1:12" ht="20.45" customHeight="1" x14ac:dyDescent="0.3">
      <c r="A31" s="10">
        <f t="shared" si="6"/>
        <v>14</v>
      </c>
      <c r="B31" s="56"/>
      <c r="C31" s="56"/>
      <c r="D31" s="56"/>
      <c r="E31" s="58"/>
      <c r="F31" s="61"/>
      <c r="G31" s="11">
        <f t="shared" si="7"/>
        <v>44</v>
      </c>
      <c r="H31" s="44"/>
      <c r="I31" s="44"/>
      <c r="J31" s="44"/>
      <c r="K31" s="46"/>
      <c r="L31" s="45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61"/>
      <c r="G32" s="11">
        <f t="shared" si="7"/>
        <v>45</v>
      </c>
      <c r="H32" s="44"/>
      <c r="I32" s="44"/>
      <c r="J32" s="44"/>
      <c r="K32" s="46"/>
      <c r="L32" s="45"/>
    </row>
    <row r="33" spans="1:12" ht="20.45" customHeight="1" x14ac:dyDescent="0.3">
      <c r="A33" s="10">
        <f t="shared" ref="A33:A47" si="8">A32+1</f>
        <v>16</v>
      </c>
      <c r="B33" s="59"/>
      <c r="C33" s="59"/>
      <c r="D33" s="59"/>
      <c r="E33" s="58"/>
      <c r="F33" s="125"/>
      <c r="G33" s="11">
        <f t="shared" si="7"/>
        <v>46</v>
      </c>
      <c r="H33" s="44"/>
      <c r="I33" s="44"/>
      <c r="J33" s="44"/>
      <c r="K33" s="46"/>
      <c r="L33" s="45"/>
    </row>
    <row r="34" spans="1:12" ht="20.45" customHeight="1" x14ac:dyDescent="0.3">
      <c r="A34" s="10">
        <f t="shared" si="8"/>
        <v>17</v>
      </c>
      <c r="B34" s="56"/>
      <c r="C34" s="56"/>
      <c r="D34" s="56"/>
      <c r="E34" s="58"/>
      <c r="F34" s="116"/>
      <c r="G34" s="11">
        <f t="shared" si="7"/>
        <v>47</v>
      </c>
      <c r="H34" s="44"/>
      <c r="I34" s="44"/>
      <c r="J34" s="44"/>
      <c r="K34" s="46"/>
      <c r="L34" s="45"/>
    </row>
    <row r="35" spans="1:12" ht="20.45" customHeight="1" x14ac:dyDescent="0.3">
      <c r="A35" s="10">
        <f t="shared" si="8"/>
        <v>18</v>
      </c>
      <c r="B35" s="56"/>
      <c r="C35" s="56"/>
      <c r="D35" s="56"/>
      <c r="E35" s="58"/>
      <c r="F35" s="116"/>
      <c r="G35" s="11">
        <f t="shared" si="7"/>
        <v>48</v>
      </c>
      <c r="H35" s="44"/>
      <c r="I35" s="44"/>
      <c r="J35" s="44"/>
      <c r="K35" s="46"/>
      <c r="L35" s="45"/>
    </row>
    <row r="36" spans="1:12" ht="20.45" customHeight="1" x14ac:dyDescent="0.3">
      <c r="A36" s="10">
        <f t="shared" si="8"/>
        <v>19</v>
      </c>
      <c r="B36" s="56"/>
      <c r="C36" s="56"/>
      <c r="D36" s="56"/>
      <c r="E36" s="58"/>
      <c r="F36" s="116"/>
      <c r="G36" s="11">
        <f t="shared" si="7"/>
        <v>49</v>
      </c>
      <c r="H36" s="44"/>
      <c r="I36" s="44"/>
      <c r="J36" s="44"/>
      <c r="K36" s="46"/>
      <c r="L36" s="45"/>
    </row>
    <row r="37" spans="1:12" ht="20.45" customHeight="1" x14ac:dyDescent="0.3">
      <c r="A37" s="10">
        <f t="shared" si="8"/>
        <v>20</v>
      </c>
      <c r="B37" s="56"/>
      <c r="C37" s="56"/>
      <c r="D37" s="56"/>
      <c r="E37" s="58"/>
      <c r="F37" s="116"/>
      <c r="G37" s="11">
        <f t="shared" si="7"/>
        <v>50</v>
      </c>
      <c r="H37" s="44"/>
      <c r="I37" s="44"/>
      <c r="J37" s="44"/>
      <c r="K37" s="46"/>
      <c r="L37" s="45"/>
    </row>
    <row r="38" spans="1:12" ht="20.45" customHeight="1" x14ac:dyDescent="0.3">
      <c r="A38" s="10">
        <f t="shared" si="8"/>
        <v>21</v>
      </c>
      <c r="B38" s="56"/>
      <c r="C38" s="56"/>
      <c r="D38" s="56"/>
      <c r="E38" s="58"/>
      <c r="F38" s="61"/>
      <c r="G38" s="11">
        <f t="shared" si="7"/>
        <v>51</v>
      </c>
      <c r="H38" s="44"/>
      <c r="I38" s="44"/>
      <c r="J38" s="44"/>
      <c r="K38" s="46"/>
      <c r="L38" s="45"/>
    </row>
    <row r="39" spans="1:12" ht="20.45" customHeight="1" x14ac:dyDescent="0.3">
      <c r="A39" s="10">
        <f t="shared" si="8"/>
        <v>22</v>
      </c>
      <c r="B39" s="56"/>
      <c r="C39" s="56"/>
      <c r="D39" s="56"/>
      <c r="E39" s="58"/>
      <c r="F39" s="61"/>
      <c r="G39" s="11">
        <f t="shared" si="7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8"/>
        <v>23</v>
      </c>
      <c r="B40" s="56"/>
      <c r="C40" s="56"/>
      <c r="D40" s="56"/>
      <c r="E40" s="58"/>
      <c r="F40" s="61"/>
      <c r="G40" s="11">
        <f t="shared" si="7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8"/>
        <v>24</v>
      </c>
      <c r="B41" s="56"/>
      <c r="C41" s="56"/>
      <c r="D41" s="56"/>
      <c r="E41" s="58"/>
      <c r="F41" s="61"/>
      <c r="G41" s="11">
        <f t="shared" si="7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8"/>
        <v>25</v>
      </c>
      <c r="B42" s="56"/>
      <c r="C42" s="56"/>
      <c r="D42" s="56"/>
      <c r="E42" s="58"/>
      <c r="F42" s="61"/>
      <c r="G42" s="11">
        <f t="shared" si="7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8"/>
        <v>26</v>
      </c>
      <c r="B43" s="56"/>
      <c r="C43" s="56"/>
      <c r="D43" s="56"/>
      <c r="E43" s="58"/>
      <c r="F43" s="61"/>
      <c r="G43" s="11">
        <f t="shared" si="7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8"/>
        <v>27</v>
      </c>
      <c r="B44" s="56"/>
      <c r="C44" s="56"/>
      <c r="D44" s="56"/>
      <c r="E44" s="58"/>
      <c r="F44" s="61"/>
      <c r="G44" s="11">
        <f t="shared" si="7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8"/>
        <v>28</v>
      </c>
      <c r="B45" s="56"/>
      <c r="C45" s="56"/>
      <c r="D45" s="56"/>
      <c r="E45" s="58"/>
      <c r="F45" s="58"/>
      <c r="G45" s="11">
        <f t="shared" si="7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8"/>
        <v>29</v>
      </c>
      <c r="B46" s="56"/>
      <c r="C46" s="56"/>
      <c r="D46" s="56"/>
      <c r="E46" s="58"/>
      <c r="F46" s="61"/>
      <c r="G46" s="11">
        <f t="shared" si="7"/>
        <v>59</v>
      </c>
      <c r="H46" s="44"/>
      <c r="I46" s="44"/>
      <c r="J46" s="44"/>
      <c r="K46" s="46"/>
      <c r="L46" s="45"/>
    </row>
    <row r="47" spans="1:12" ht="20.45" customHeight="1" x14ac:dyDescent="0.3">
      <c r="A47" s="10">
        <f t="shared" si="8"/>
        <v>30</v>
      </c>
      <c r="B47" s="56"/>
      <c r="C47" s="56"/>
      <c r="D47" s="56"/>
      <c r="E47" s="58"/>
      <c r="F47" s="58"/>
      <c r="G47" s="11">
        <f t="shared" si="7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2:F36">
    <sortCondition ref="E32:E36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2101-1D74-4BC6-A617-B8241005D3D3}">
  <sheetPr codeName="Sheet10">
    <tabColor rgb="FFFFFFFF"/>
  </sheetPr>
  <dimension ref="A1:N52"/>
  <sheetViews>
    <sheetView showGridLines="0" view="pageBreakPreview" zoomScaleNormal="100" zoomScaleSheetLayoutView="100" workbookViewId="0">
      <selection activeCell="H20" sqref="H20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'261008'!C5:F5+1</f>
        <v>46304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'261008'!F8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'261008'!L8</f>
        <v>0</v>
      </c>
      <c r="L8" s="42">
        <f t="shared" ref="L8:L13" si="3">I8+K8</f>
        <v>0</v>
      </c>
    </row>
    <row r="9" spans="1:14" ht="21.95" customHeight="1" x14ac:dyDescent="0.3">
      <c r="A9" s="4">
        <v>2</v>
      </c>
      <c r="B9" s="103" t="str">
        <f>'261001'!B9</f>
        <v>관리자</v>
      </c>
      <c r="C9" s="142">
        <f t="shared" si="0"/>
        <v>0</v>
      </c>
      <c r="D9" s="142"/>
      <c r="E9" s="38">
        <f>'261008'!F9</f>
        <v>0</v>
      </c>
      <c r="F9" s="34">
        <f t="shared" si="1"/>
        <v>0</v>
      </c>
      <c r="G9" s="8">
        <v>9</v>
      </c>
      <c r="H9" s="32" t="str">
        <f>'261001'!H9</f>
        <v>수장</v>
      </c>
      <c r="I9" s="142">
        <f t="shared" si="2"/>
        <v>0</v>
      </c>
      <c r="J9" s="142"/>
      <c r="K9" s="34">
        <f>'261008'!L9</f>
        <v>0</v>
      </c>
      <c r="L9" s="34">
        <f t="shared" si="3"/>
        <v>0</v>
      </c>
    </row>
    <row r="10" spans="1:14" ht="21.95" customHeight="1" x14ac:dyDescent="0.3">
      <c r="A10" s="4">
        <v>3</v>
      </c>
      <c r="B10" s="103" t="str">
        <f>'261001'!B10</f>
        <v>직영</v>
      </c>
      <c r="C10" s="142">
        <f t="shared" si="0"/>
        <v>0</v>
      </c>
      <c r="D10" s="142"/>
      <c r="E10" s="38">
        <f>'261008'!F10</f>
        <v>0</v>
      </c>
      <c r="F10" s="34">
        <f t="shared" si="1"/>
        <v>0</v>
      </c>
      <c r="G10" s="8"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'261008'!L10</f>
        <v>0</v>
      </c>
      <c r="L10" s="34">
        <f t="shared" si="3"/>
        <v>0</v>
      </c>
    </row>
    <row r="11" spans="1:14" ht="21.95" customHeight="1" x14ac:dyDescent="0.3">
      <c r="A11" s="4">
        <v>4</v>
      </c>
      <c r="B11" s="103" t="str">
        <f>'261001'!B11</f>
        <v>단열</v>
      </c>
      <c r="C11" s="142">
        <f t="shared" si="0"/>
        <v>0</v>
      </c>
      <c r="D11" s="142"/>
      <c r="E11" s="38">
        <f>'261008'!F11</f>
        <v>0</v>
      </c>
      <c r="F11" s="34">
        <f t="shared" si="1"/>
        <v>0</v>
      </c>
      <c r="G11" s="8">
        <f>G10+1</f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'261008'!L11</f>
        <v>0</v>
      </c>
      <c r="L11" s="34">
        <f t="shared" si="3"/>
        <v>0</v>
      </c>
    </row>
    <row r="12" spans="1:14" ht="21.95" customHeight="1" x14ac:dyDescent="0.3">
      <c r="A12" s="4">
        <v>5</v>
      </c>
      <c r="B12" s="103" t="str">
        <f>'261001'!B12</f>
        <v>경량</v>
      </c>
      <c r="C12" s="142">
        <f t="shared" si="0"/>
        <v>0</v>
      </c>
      <c r="D12" s="142"/>
      <c r="E12" s="38">
        <f>'261008'!F12</f>
        <v>0</v>
      </c>
      <c r="F12" s="34">
        <f t="shared" si="1"/>
        <v>0</v>
      </c>
      <c r="G12" s="8">
        <f>G11+1</f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'261008'!L12</f>
        <v>0</v>
      </c>
      <c r="L12" s="34">
        <f t="shared" si="3"/>
        <v>0</v>
      </c>
    </row>
    <row r="13" spans="1:14" ht="21.95" customHeight="1" x14ac:dyDescent="0.3">
      <c r="A13" s="4">
        <v>6</v>
      </c>
      <c r="B13" s="103" t="str">
        <f>'261001'!B13</f>
        <v>합지</v>
      </c>
      <c r="C13" s="142">
        <f t="shared" si="0"/>
        <v>0</v>
      </c>
      <c r="D13" s="142"/>
      <c r="E13" s="38">
        <f>'261008'!F13</f>
        <v>0</v>
      </c>
      <c r="F13" s="34">
        <f t="shared" si="1"/>
        <v>0</v>
      </c>
      <c r="G13" s="8">
        <f>G12+1</f>
        <v>13</v>
      </c>
      <c r="H13" s="32">
        <f>'261001'!H13</f>
        <v>0</v>
      </c>
      <c r="I13" s="142">
        <f t="shared" si="2"/>
        <v>0</v>
      </c>
      <c r="J13" s="142"/>
      <c r="K13" s="34">
        <f>'261008'!L13</f>
        <v>0</v>
      </c>
      <c r="L13" s="34">
        <f t="shared" si="3"/>
        <v>0</v>
      </c>
    </row>
    <row r="14" spans="1:14" ht="21.95" customHeight="1" x14ac:dyDescent="0.3">
      <c r="A14" s="5">
        <v>7</v>
      </c>
      <c r="B14" s="104" t="str">
        <f>'261001'!B14</f>
        <v>천정</v>
      </c>
      <c r="C14" s="150">
        <f t="shared" si="0"/>
        <v>0</v>
      </c>
      <c r="D14" s="150"/>
      <c r="E14" s="39">
        <f>'261008'!F14</f>
        <v>0</v>
      </c>
      <c r="F14" s="40">
        <f t="shared" ref="F14" si="4">C14+E14</f>
        <v>0</v>
      </c>
      <c r="G14" s="9">
        <f>G13+1</f>
        <v>14</v>
      </c>
      <c r="H14" s="33">
        <f>'261001'!H14</f>
        <v>0</v>
      </c>
      <c r="I14" s="150">
        <f t="shared" si="2"/>
        <v>0</v>
      </c>
      <c r="J14" s="150"/>
      <c r="K14" s="40">
        <f>'261008'!L15</f>
        <v>0</v>
      </c>
      <c r="L14" s="40">
        <f t="shared" ref="L14" si="5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89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58"/>
    </row>
    <row r="19" spans="1:12" ht="20.45" customHeight="1" x14ac:dyDescent="0.3">
      <c r="A19" s="91">
        <f t="shared" ref="A19:A31" si="6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58"/>
    </row>
    <row r="20" spans="1:12" ht="20.45" customHeight="1" x14ac:dyDescent="0.3">
      <c r="A20" s="91">
        <f t="shared" si="6"/>
        <v>3</v>
      </c>
      <c r="B20" s="56"/>
      <c r="C20" s="56"/>
      <c r="D20" s="56"/>
      <c r="E20" s="58"/>
      <c r="F20" s="58"/>
      <c r="G20" s="92">
        <f t="shared" ref="G20:G47" si="7">G19+1</f>
        <v>33</v>
      </c>
      <c r="H20" s="56"/>
      <c r="I20" s="56"/>
      <c r="J20" s="56"/>
      <c r="K20" s="58"/>
      <c r="L20" s="58"/>
    </row>
    <row r="21" spans="1:12" ht="20.45" customHeight="1" x14ac:dyDescent="0.3">
      <c r="A21" s="91">
        <f t="shared" si="6"/>
        <v>4</v>
      </c>
      <c r="B21" s="56"/>
      <c r="C21" s="56"/>
      <c r="D21" s="56"/>
      <c r="E21" s="58"/>
      <c r="F21" s="125"/>
      <c r="G21" s="92">
        <f t="shared" si="7"/>
        <v>34</v>
      </c>
      <c r="H21" s="56"/>
      <c r="I21" s="56"/>
      <c r="J21" s="56"/>
      <c r="K21" s="58"/>
      <c r="L21" s="58"/>
    </row>
    <row r="22" spans="1:12" ht="20.45" customHeight="1" x14ac:dyDescent="0.3">
      <c r="A22" s="91">
        <f t="shared" si="6"/>
        <v>5</v>
      </c>
      <c r="B22" s="56"/>
      <c r="C22" s="56"/>
      <c r="D22" s="56"/>
      <c r="E22" s="58"/>
      <c r="F22" s="58"/>
      <c r="G22" s="92">
        <f t="shared" si="7"/>
        <v>35</v>
      </c>
      <c r="H22" s="56"/>
      <c r="I22" s="56"/>
      <c r="J22" s="56"/>
      <c r="K22" s="58"/>
      <c r="L22" s="58"/>
    </row>
    <row r="23" spans="1:12" ht="20.45" customHeight="1" x14ac:dyDescent="0.3">
      <c r="A23" s="91">
        <f t="shared" si="6"/>
        <v>6</v>
      </c>
      <c r="B23" s="56"/>
      <c r="C23" s="56"/>
      <c r="D23" s="56"/>
      <c r="E23" s="58"/>
      <c r="F23" s="58"/>
      <c r="G23" s="92">
        <f t="shared" si="7"/>
        <v>36</v>
      </c>
      <c r="H23" s="56"/>
      <c r="I23" s="56"/>
      <c r="J23" s="56"/>
      <c r="K23" s="58"/>
      <c r="L23" s="58"/>
    </row>
    <row r="24" spans="1:12" ht="20.45" customHeight="1" x14ac:dyDescent="0.3">
      <c r="A24" s="91">
        <f t="shared" si="6"/>
        <v>7</v>
      </c>
      <c r="B24" s="56"/>
      <c r="C24" s="56"/>
      <c r="D24" s="56"/>
      <c r="E24" s="58"/>
      <c r="F24" s="58"/>
      <c r="G24" s="92">
        <f t="shared" si="7"/>
        <v>37</v>
      </c>
      <c r="H24" s="56"/>
      <c r="I24" s="56"/>
      <c r="J24" s="56"/>
      <c r="K24" s="58"/>
      <c r="L24" s="58"/>
    </row>
    <row r="25" spans="1:12" ht="20.45" customHeight="1" x14ac:dyDescent="0.3">
      <c r="A25" s="91">
        <f t="shared" si="6"/>
        <v>8</v>
      </c>
      <c r="B25" s="56"/>
      <c r="C25" s="56"/>
      <c r="D25" s="56"/>
      <c r="E25" s="58"/>
      <c r="F25" s="58"/>
      <c r="G25" s="92">
        <f t="shared" si="7"/>
        <v>38</v>
      </c>
      <c r="H25" s="56"/>
      <c r="I25" s="56"/>
      <c r="J25" s="56"/>
      <c r="K25" s="58"/>
      <c r="L25" s="58"/>
    </row>
    <row r="26" spans="1:12" ht="20.45" customHeight="1" x14ac:dyDescent="0.3">
      <c r="A26" s="91">
        <f t="shared" si="6"/>
        <v>9</v>
      </c>
      <c r="B26" s="56"/>
      <c r="C26" s="56"/>
      <c r="D26" s="56"/>
      <c r="E26" s="58"/>
      <c r="F26" s="116"/>
      <c r="G26" s="92">
        <f t="shared" si="7"/>
        <v>39</v>
      </c>
      <c r="H26" s="56"/>
      <c r="I26" s="56"/>
      <c r="J26" s="56"/>
      <c r="K26" s="58"/>
      <c r="L26" s="58"/>
    </row>
    <row r="27" spans="1:12" ht="20.45" customHeight="1" x14ac:dyDescent="0.3">
      <c r="A27" s="91">
        <f t="shared" si="6"/>
        <v>10</v>
      </c>
      <c r="B27" s="56"/>
      <c r="C27" s="56"/>
      <c r="D27" s="56"/>
      <c r="E27" s="58"/>
      <c r="F27" s="116"/>
      <c r="G27" s="92">
        <f t="shared" si="7"/>
        <v>40</v>
      </c>
      <c r="H27" s="56"/>
      <c r="I27" s="56"/>
      <c r="J27" s="56"/>
      <c r="K27" s="58"/>
      <c r="L27" s="58"/>
    </row>
    <row r="28" spans="1:12" ht="20.45" customHeight="1" x14ac:dyDescent="0.3">
      <c r="A28" s="91">
        <f t="shared" si="6"/>
        <v>11</v>
      </c>
      <c r="B28" s="59"/>
      <c r="C28" s="59"/>
      <c r="D28" s="59"/>
      <c r="E28" s="119"/>
      <c r="F28" s="120"/>
      <c r="G28" s="92">
        <f t="shared" si="7"/>
        <v>41</v>
      </c>
      <c r="H28" s="56"/>
      <c r="I28" s="56"/>
      <c r="J28" s="56"/>
      <c r="K28" s="58"/>
      <c r="L28" s="58"/>
    </row>
    <row r="29" spans="1:12" ht="20.45" customHeight="1" x14ac:dyDescent="0.3">
      <c r="A29" s="91">
        <f t="shared" si="6"/>
        <v>12</v>
      </c>
      <c r="B29" s="56"/>
      <c r="C29" s="56"/>
      <c r="D29" s="56"/>
      <c r="E29" s="119"/>
      <c r="F29" s="120"/>
      <c r="G29" s="92">
        <f t="shared" si="7"/>
        <v>42</v>
      </c>
      <c r="H29" s="56"/>
      <c r="I29" s="56"/>
      <c r="J29" s="56"/>
      <c r="K29" s="58"/>
      <c r="L29" s="58"/>
    </row>
    <row r="30" spans="1:12" ht="20.45" customHeight="1" x14ac:dyDescent="0.3">
      <c r="A30" s="91">
        <f t="shared" si="6"/>
        <v>13</v>
      </c>
      <c r="B30" s="56"/>
      <c r="C30" s="56"/>
      <c r="D30" s="56"/>
      <c r="E30" s="58"/>
      <c r="F30" s="58"/>
      <c r="G30" s="92">
        <f t="shared" si="7"/>
        <v>43</v>
      </c>
      <c r="H30" s="56"/>
      <c r="I30" s="56"/>
      <c r="J30" s="56"/>
      <c r="K30" s="58"/>
      <c r="L30" s="58"/>
    </row>
    <row r="31" spans="1:12" ht="20.45" customHeight="1" x14ac:dyDescent="0.3">
      <c r="A31" s="91">
        <f t="shared" si="6"/>
        <v>14</v>
      </c>
      <c r="B31" s="56"/>
      <c r="C31" s="56"/>
      <c r="D31" s="56"/>
      <c r="E31" s="58"/>
      <c r="F31" s="61"/>
      <c r="G31" s="92">
        <f t="shared" si="7"/>
        <v>44</v>
      </c>
      <c r="H31" s="56"/>
      <c r="I31" s="44"/>
      <c r="J31" s="56"/>
      <c r="K31" s="58"/>
      <c r="L31" s="58"/>
    </row>
    <row r="32" spans="1:12" ht="20.45" customHeight="1" x14ac:dyDescent="0.3">
      <c r="A32" s="91">
        <f>A31+1</f>
        <v>15</v>
      </c>
      <c r="B32" s="56"/>
      <c r="C32" s="56"/>
      <c r="D32" s="56"/>
      <c r="E32" s="58"/>
      <c r="F32" s="61"/>
      <c r="G32" s="92">
        <f t="shared" si="7"/>
        <v>45</v>
      </c>
      <c r="H32" s="56"/>
      <c r="I32" s="44"/>
      <c r="J32" s="56"/>
      <c r="K32" s="58"/>
      <c r="L32" s="58"/>
    </row>
    <row r="33" spans="1:12" ht="20.45" customHeight="1" x14ac:dyDescent="0.3">
      <c r="A33" s="91">
        <f t="shared" ref="A33:A47" si="8">A32+1</f>
        <v>16</v>
      </c>
      <c r="B33" s="59"/>
      <c r="C33" s="59"/>
      <c r="D33" s="59"/>
      <c r="E33" s="58"/>
      <c r="F33" s="125"/>
      <c r="G33" s="92">
        <f t="shared" si="7"/>
        <v>46</v>
      </c>
      <c r="H33" s="56"/>
      <c r="I33" s="56"/>
      <c r="J33" s="56"/>
      <c r="K33" s="58"/>
      <c r="L33" s="61"/>
    </row>
    <row r="34" spans="1:12" ht="20.45" customHeight="1" x14ac:dyDescent="0.3">
      <c r="A34" s="91">
        <f t="shared" si="8"/>
        <v>17</v>
      </c>
      <c r="B34" s="56"/>
      <c r="C34" s="56"/>
      <c r="D34" s="56"/>
      <c r="E34" s="58"/>
      <c r="F34" s="116"/>
      <c r="G34" s="92">
        <f t="shared" si="7"/>
        <v>47</v>
      </c>
      <c r="H34" s="56"/>
      <c r="I34" s="56"/>
      <c r="J34" s="56"/>
      <c r="K34" s="58"/>
      <c r="L34" s="58"/>
    </row>
    <row r="35" spans="1:12" ht="20.45" customHeight="1" x14ac:dyDescent="0.3">
      <c r="A35" s="91">
        <f t="shared" si="8"/>
        <v>18</v>
      </c>
      <c r="B35" s="56"/>
      <c r="C35" s="56"/>
      <c r="D35" s="56"/>
      <c r="E35" s="58"/>
      <c r="F35" s="116"/>
      <c r="G35" s="92">
        <f t="shared" si="7"/>
        <v>48</v>
      </c>
      <c r="H35" s="56"/>
      <c r="I35" s="56"/>
      <c r="J35" s="56"/>
      <c r="K35" s="58"/>
      <c r="L35" s="58"/>
    </row>
    <row r="36" spans="1:12" ht="20.45" customHeight="1" x14ac:dyDescent="0.3">
      <c r="A36" s="91">
        <f t="shared" si="8"/>
        <v>19</v>
      </c>
      <c r="B36" s="56"/>
      <c r="C36" s="56"/>
      <c r="D36" s="56"/>
      <c r="E36" s="58"/>
      <c r="F36" s="116"/>
      <c r="G36" s="92">
        <f t="shared" si="7"/>
        <v>49</v>
      </c>
      <c r="H36" s="56"/>
      <c r="I36" s="56"/>
      <c r="J36" s="56"/>
      <c r="K36" s="58"/>
      <c r="L36" s="61"/>
    </row>
    <row r="37" spans="1:12" ht="20.45" customHeight="1" x14ac:dyDescent="0.3">
      <c r="A37" s="91">
        <f t="shared" si="8"/>
        <v>20</v>
      </c>
      <c r="B37" s="56"/>
      <c r="C37" s="56"/>
      <c r="D37" s="56"/>
      <c r="E37" s="58"/>
      <c r="F37" s="116"/>
      <c r="G37" s="92">
        <f t="shared" si="7"/>
        <v>50</v>
      </c>
      <c r="H37" s="56"/>
      <c r="I37" s="56"/>
      <c r="J37" s="56"/>
      <c r="K37" s="58"/>
      <c r="L37" s="61"/>
    </row>
    <row r="38" spans="1:12" ht="20.45" customHeight="1" x14ac:dyDescent="0.3">
      <c r="A38" s="91">
        <f t="shared" si="8"/>
        <v>21</v>
      </c>
      <c r="B38" s="56"/>
      <c r="C38" s="56"/>
      <c r="D38" s="56"/>
      <c r="E38" s="58"/>
      <c r="F38" s="61"/>
      <c r="G38" s="92">
        <f t="shared" si="7"/>
        <v>51</v>
      </c>
      <c r="H38" s="56"/>
      <c r="I38" s="56"/>
      <c r="J38" s="56"/>
      <c r="K38" s="58"/>
      <c r="L38" s="61"/>
    </row>
    <row r="39" spans="1:12" ht="20.45" customHeight="1" x14ac:dyDescent="0.3">
      <c r="A39" s="91">
        <f t="shared" si="8"/>
        <v>22</v>
      </c>
      <c r="B39" s="56"/>
      <c r="C39" s="56"/>
      <c r="D39" s="56"/>
      <c r="E39" s="58"/>
      <c r="F39" s="61"/>
      <c r="G39" s="92">
        <f t="shared" si="7"/>
        <v>52</v>
      </c>
      <c r="H39" s="56"/>
      <c r="I39" s="56"/>
      <c r="J39" s="56"/>
      <c r="K39" s="58"/>
      <c r="L39" s="61"/>
    </row>
    <row r="40" spans="1:12" ht="20.45" customHeight="1" x14ac:dyDescent="0.3">
      <c r="A40" s="91">
        <f t="shared" si="8"/>
        <v>23</v>
      </c>
      <c r="B40" s="56"/>
      <c r="C40" s="56"/>
      <c r="D40" s="56"/>
      <c r="E40" s="58"/>
      <c r="F40" s="61"/>
      <c r="G40" s="92">
        <f t="shared" si="7"/>
        <v>53</v>
      </c>
      <c r="H40" s="56"/>
      <c r="I40" s="56"/>
      <c r="J40" s="56"/>
      <c r="K40" s="58"/>
      <c r="L40" s="61"/>
    </row>
    <row r="41" spans="1:12" ht="20.45" customHeight="1" x14ac:dyDescent="0.3">
      <c r="A41" s="91">
        <f t="shared" si="8"/>
        <v>24</v>
      </c>
      <c r="B41" s="56"/>
      <c r="C41" s="56"/>
      <c r="D41" s="56"/>
      <c r="E41" s="58"/>
      <c r="F41" s="61"/>
      <c r="G41" s="92">
        <f t="shared" si="7"/>
        <v>54</v>
      </c>
      <c r="H41" s="56"/>
      <c r="I41" s="56"/>
      <c r="J41" s="56"/>
      <c r="K41" s="58"/>
      <c r="L41" s="61"/>
    </row>
    <row r="42" spans="1:12" ht="20.45" customHeight="1" x14ac:dyDescent="0.3">
      <c r="A42" s="91">
        <f t="shared" si="8"/>
        <v>25</v>
      </c>
      <c r="B42" s="56"/>
      <c r="C42" s="56"/>
      <c r="D42" s="56"/>
      <c r="E42" s="58"/>
      <c r="F42" s="61"/>
      <c r="G42" s="92">
        <f t="shared" si="7"/>
        <v>55</v>
      </c>
      <c r="H42" s="56"/>
      <c r="I42" s="56"/>
      <c r="J42" s="56"/>
      <c r="K42" s="58"/>
      <c r="L42" s="61"/>
    </row>
    <row r="43" spans="1:12" ht="20.45" customHeight="1" x14ac:dyDescent="0.3">
      <c r="A43" s="91">
        <f t="shared" si="8"/>
        <v>26</v>
      </c>
      <c r="B43" s="56"/>
      <c r="C43" s="56"/>
      <c r="D43" s="56"/>
      <c r="E43" s="58"/>
      <c r="F43" s="61"/>
      <c r="G43" s="92">
        <f t="shared" si="7"/>
        <v>56</v>
      </c>
      <c r="H43" s="56"/>
      <c r="I43" s="56"/>
      <c r="J43" s="56"/>
      <c r="K43" s="58"/>
      <c r="L43" s="61"/>
    </row>
    <row r="44" spans="1:12" ht="20.45" customHeight="1" x14ac:dyDescent="0.3">
      <c r="A44" s="91">
        <f t="shared" si="8"/>
        <v>27</v>
      </c>
      <c r="B44" s="56"/>
      <c r="C44" s="56"/>
      <c r="D44" s="56"/>
      <c r="E44" s="58"/>
      <c r="F44" s="61"/>
      <c r="G44" s="92">
        <f t="shared" si="7"/>
        <v>57</v>
      </c>
      <c r="H44" s="56"/>
      <c r="I44" s="56"/>
      <c r="J44" s="56"/>
      <c r="K44" s="58"/>
      <c r="L44" s="61"/>
    </row>
    <row r="45" spans="1:12" ht="20.45" customHeight="1" x14ac:dyDescent="0.3">
      <c r="A45" s="91">
        <f t="shared" si="8"/>
        <v>28</v>
      </c>
      <c r="B45" s="56"/>
      <c r="C45" s="56"/>
      <c r="D45" s="56"/>
      <c r="E45" s="58"/>
      <c r="F45" s="58"/>
      <c r="G45" s="92">
        <f t="shared" si="7"/>
        <v>58</v>
      </c>
      <c r="H45" s="56"/>
      <c r="I45" s="56"/>
      <c r="J45" s="56"/>
      <c r="K45" s="58"/>
      <c r="L45" s="61"/>
    </row>
    <row r="46" spans="1:12" ht="20.45" customHeight="1" x14ac:dyDescent="0.3">
      <c r="A46" s="91">
        <f t="shared" si="8"/>
        <v>29</v>
      </c>
      <c r="B46" s="56"/>
      <c r="C46" s="56"/>
      <c r="D46" s="56"/>
      <c r="E46" s="58"/>
      <c r="F46" s="58"/>
      <c r="G46" s="92">
        <f t="shared" si="7"/>
        <v>59</v>
      </c>
      <c r="H46" s="56"/>
      <c r="I46" s="56"/>
      <c r="J46" s="56"/>
      <c r="K46" s="58"/>
      <c r="L46" s="61"/>
    </row>
    <row r="47" spans="1:12" ht="20.45" customHeight="1" x14ac:dyDescent="0.3">
      <c r="A47" s="10">
        <f t="shared" si="8"/>
        <v>30</v>
      </c>
      <c r="B47" s="56"/>
      <c r="C47" s="56"/>
      <c r="D47" s="56"/>
      <c r="E47" s="58"/>
      <c r="F47" s="58"/>
      <c r="G47" s="11">
        <f t="shared" si="7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5:F42">
    <sortCondition ref="C35:C42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3635B-EB9F-422D-8EE7-6A701C64DB14}">
  <sheetPr codeName="Sheet11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'261009'!C5:F5+1</f>
        <v>46305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'261009'!F8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'261009'!L8</f>
        <v>0</v>
      </c>
      <c r="L8" s="42">
        <f t="shared" ref="L8:L13" si="3">I8+K8</f>
        <v>0</v>
      </c>
    </row>
    <row r="9" spans="1:14" ht="21.95" customHeight="1" x14ac:dyDescent="0.3">
      <c r="A9" s="4">
        <v>2</v>
      </c>
      <c r="B9" s="103" t="str">
        <f>'261001'!B9</f>
        <v>관리자</v>
      </c>
      <c r="C9" s="142">
        <f t="shared" si="0"/>
        <v>0</v>
      </c>
      <c r="D9" s="142"/>
      <c r="E9" s="38">
        <f>'261009'!F9</f>
        <v>0</v>
      </c>
      <c r="F9" s="34">
        <f t="shared" si="1"/>
        <v>0</v>
      </c>
      <c r="G9" s="8">
        <v>9</v>
      </c>
      <c r="H9" s="32" t="str">
        <f>'261001'!H9</f>
        <v>수장</v>
      </c>
      <c r="I9" s="142">
        <f t="shared" si="2"/>
        <v>0</v>
      </c>
      <c r="J9" s="142"/>
      <c r="K9" s="34">
        <f>'261009'!L9</f>
        <v>0</v>
      </c>
      <c r="L9" s="34">
        <f t="shared" si="3"/>
        <v>0</v>
      </c>
    </row>
    <row r="10" spans="1:14" ht="21.95" customHeight="1" x14ac:dyDescent="0.3">
      <c r="A10" s="4">
        <v>3</v>
      </c>
      <c r="B10" s="103" t="str">
        <f>'261001'!B10</f>
        <v>직영</v>
      </c>
      <c r="C10" s="142">
        <f t="shared" si="0"/>
        <v>0</v>
      </c>
      <c r="D10" s="142"/>
      <c r="E10" s="38">
        <f>'261009'!F10</f>
        <v>0</v>
      </c>
      <c r="F10" s="34">
        <f t="shared" si="1"/>
        <v>0</v>
      </c>
      <c r="G10" s="8"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'261009'!L10</f>
        <v>0</v>
      </c>
      <c r="L10" s="34">
        <f t="shared" si="3"/>
        <v>0</v>
      </c>
    </row>
    <row r="11" spans="1:14" ht="21.95" customHeight="1" x14ac:dyDescent="0.3">
      <c r="A11" s="4">
        <v>4</v>
      </c>
      <c r="B11" s="103" t="str">
        <f>'261001'!B11</f>
        <v>단열</v>
      </c>
      <c r="C11" s="142">
        <f t="shared" si="0"/>
        <v>0</v>
      </c>
      <c r="D11" s="142"/>
      <c r="E11" s="38">
        <f>'261009'!F11</f>
        <v>0</v>
      </c>
      <c r="F11" s="34">
        <f t="shared" si="1"/>
        <v>0</v>
      </c>
      <c r="G11" s="8"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'261009'!L11</f>
        <v>0</v>
      </c>
      <c r="L11" s="34">
        <f t="shared" si="3"/>
        <v>0</v>
      </c>
    </row>
    <row r="12" spans="1:14" ht="21.95" customHeight="1" x14ac:dyDescent="0.3">
      <c r="A12" s="4">
        <v>5</v>
      </c>
      <c r="B12" s="103" t="str">
        <f>'261001'!B12</f>
        <v>경량</v>
      </c>
      <c r="C12" s="142">
        <f t="shared" si="0"/>
        <v>0</v>
      </c>
      <c r="D12" s="142"/>
      <c r="E12" s="38">
        <f>'261009'!F12</f>
        <v>0</v>
      </c>
      <c r="F12" s="34">
        <f t="shared" si="1"/>
        <v>0</v>
      </c>
      <c r="G12" s="8">
        <f>G11+1</f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'261009'!L12</f>
        <v>0</v>
      </c>
      <c r="L12" s="34">
        <f t="shared" si="3"/>
        <v>0</v>
      </c>
    </row>
    <row r="13" spans="1:14" ht="21.95" customHeight="1" x14ac:dyDescent="0.3">
      <c r="A13" s="4">
        <v>6</v>
      </c>
      <c r="B13" s="103" t="str">
        <f>'261001'!B13</f>
        <v>합지</v>
      </c>
      <c r="C13" s="142">
        <f t="shared" si="0"/>
        <v>0</v>
      </c>
      <c r="D13" s="142"/>
      <c r="E13" s="38">
        <f>'261009'!F13</f>
        <v>0</v>
      </c>
      <c r="F13" s="34">
        <f t="shared" si="1"/>
        <v>0</v>
      </c>
      <c r="G13" s="8">
        <f>G12+1</f>
        <v>13</v>
      </c>
      <c r="H13" s="32">
        <f>'261001'!H13</f>
        <v>0</v>
      </c>
      <c r="I13" s="142">
        <f t="shared" si="2"/>
        <v>0</v>
      </c>
      <c r="J13" s="142"/>
      <c r="K13" s="34">
        <f>'261009'!L13</f>
        <v>0</v>
      </c>
      <c r="L13" s="34">
        <f t="shared" si="3"/>
        <v>0</v>
      </c>
    </row>
    <row r="14" spans="1:14" ht="21.95" customHeight="1" x14ac:dyDescent="0.3">
      <c r="A14" s="5">
        <v>7</v>
      </c>
      <c r="B14" s="104" t="str">
        <f>'261001'!B14</f>
        <v>천정</v>
      </c>
      <c r="C14" s="150">
        <f t="shared" si="0"/>
        <v>0</v>
      </c>
      <c r="D14" s="150"/>
      <c r="E14" s="39">
        <f>'261009'!F14</f>
        <v>0</v>
      </c>
      <c r="F14" s="40">
        <f t="shared" ref="F14" si="4">C14+E14</f>
        <v>0</v>
      </c>
      <c r="G14" s="9">
        <f>G13+1</f>
        <v>14</v>
      </c>
      <c r="H14" s="33">
        <f>'261001'!H14</f>
        <v>0</v>
      </c>
      <c r="I14" s="150">
        <f t="shared" si="2"/>
        <v>0</v>
      </c>
      <c r="J14" s="150"/>
      <c r="K14" s="40">
        <f>'261009'!L14</f>
        <v>0</v>
      </c>
      <c r="L14" s="40">
        <f t="shared" ref="L14" si="5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6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6"/>
        <v>3</v>
      </c>
      <c r="B20" s="56"/>
      <c r="C20" s="56"/>
      <c r="D20" s="56"/>
      <c r="E20" s="58"/>
      <c r="F20" s="58"/>
      <c r="G20" s="92">
        <f t="shared" ref="G20:G47" si="7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6"/>
        <v>4</v>
      </c>
      <c r="B21" s="56"/>
      <c r="C21" s="56"/>
      <c r="D21" s="56"/>
      <c r="E21" s="58"/>
      <c r="F21" s="125"/>
      <c r="G21" s="92">
        <f t="shared" si="7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6"/>
        <v>5</v>
      </c>
      <c r="B22" s="56"/>
      <c r="C22" s="56"/>
      <c r="D22" s="56"/>
      <c r="E22" s="58"/>
      <c r="F22" s="58"/>
      <c r="G22" s="92">
        <f t="shared" si="7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6"/>
        <v>6</v>
      </c>
      <c r="B23" s="56"/>
      <c r="C23" s="56"/>
      <c r="D23" s="56"/>
      <c r="E23" s="58"/>
      <c r="F23" s="58"/>
      <c r="G23" s="92">
        <f t="shared" si="7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6"/>
        <v>7</v>
      </c>
      <c r="B24" s="56"/>
      <c r="C24" s="56"/>
      <c r="D24" s="56"/>
      <c r="E24" s="58"/>
      <c r="F24" s="58"/>
      <c r="G24" s="92">
        <f t="shared" si="7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6"/>
        <v>8</v>
      </c>
      <c r="B25" s="56"/>
      <c r="C25" s="56"/>
      <c r="D25" s="56"/>
      <c r="E25" s="58"/>
      <c r="F25" s="58"/>
      <c r="G25" s="92">
        <f t="shared" si="7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6"/>
        <v>9</v>
      </c>
      <c r="B26" s="56"/>
      <c r="C26" s="56"/>
      <c r="D26" s="56"/>
      <c r="E26" s="58"/>
      <c r="F26" s="125"/>
      <c r="G26" s="92">
        <f t="shared" si="7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6"/>
        <v>10</v>
      </c>
      <c r="B27" s="56"/>
      <c r="C27" s="56"/>
      <c r="D27" s="56"/>
      <c r="E27" s="58"/>
      <c r="F27" s="125"/>
      <c r="G27" s="92">
        <f t="shared" si="7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6"/>
        <v>11</v>
      </c>
      <c r="B28" s="56"/>
      <c r="C28" s="56"/>
      <c r="D28" s="56"/>
      <c r="E28" s="119"/>
      <c r="F28" s="120"/>
      <c r="G28" s="92">
        <f t="shared" si="7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6"/>
        <v>12</v>
      </c>
      <c r="B29" s="56"/>
      <c r="C29" s="56"/>
      <c r="D29" s="56"/>
      <c r="E29" s="58"/>
      <c r="F29" s="58"/>
      <c r="G29" s="92">
        <f t="shared" si="7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6"/>
        <v>13</v>
      </c>
      <c r="B30" s="56"/>
      <c r="C30" s="56"/>
      <c r="D30" s="56"/>
      <c r="E30" s="58"/>
      <c r="F30" s="61"/>
      <c r="G30" s="92">
        <f t="shared" si="7"/>
        <v>43</v>
      </c>
      <c r="H30" s="56"/>
      <c r="I30" s="56"/>
      <c r="J30" s="56"/>
      <c r="K30" s="58"/>
      <c r="L30" s="61"/>
    </row>
    <row r="31" spans="1:12" ht="20.45" customHeight="1" x14ac:dyDescent="0.3">
      <c r="A31" s="91">
        <f t="shared" si="6"/>
        <v>14</v>
      </c>
      <c r="B31" s="56"/>
      <c r="C31" s="56"/>
      <c r="D31" s="56"/>
      <c r="E31" s="58"/>
      <c r="F31" s="61"/>
      <c r="G31" s="92">
        <f t="shared" si="7"/>
        <v>44</v>
      </c>
      <c r="H31" s="56"/>
      <c r="I31" s="56"/>
      <c r="J31" s="56"/>
      <c r="K31" s="58"/>
      <c r="L31" s="61"/>
    </row>
    <row r="32" spans="1:12" ht="20.45" customHeight="1" x14ac:dyDescent="0.3">
      <c r="A32" s="91">
        <f>A31+1</f>
        <v>15</v>
      </c>
      <c r="B32" s="59"/>
      <c r="C32" s="59"/>
      <c r="D32" s="59"/>
      <c r="E32" s="58"/>
      <c r="F32" s="125"/>
      <c r="G32" s="92">
        <f t="shared" si="7"/>
        <v>45</v>
      </c>
      <c r="H32" s="56"/>
      <c r="I32" s="56"/>
      <c r="J32" s="56"/>
      <c r="K32" s="58"/>
      <c r="L32" s="61"/>
    </row>
    <row r="33" spans="1:12" ht="20.45" customHeight="1" x14ac:dyDescent="0.3">
      <c r="A33" s="91">
        <f t="shared" ref="A33:A47" si="8">A32+1</f>
        <v>16</v>
      </c>
      <c r="B33" s="56"/>
      <c r="C33" s="56"/>
      <c r="D33" s="56"/>
      <c r="E33" s="58"/>
      <c r="F33" s="116"/>
      <c r="G33" s="92">
        <f t="shared" si="7"/>
        <v>46</v>
      </c>
      <c r="H33" s="56"/>
      <c r="I33" s="56"/>
      <c r="J33" s="56"/>
      <c r="K33" s="58"/>
      <c r="L33" s="61"/>
    </row>
    <row r="34" spans="1:12" ht="20.45" customHeight="1" x14ac:dyDescent="0.3">
      <c r="A34" s="91">
        <f t="shared" si="8"/>
        <v>17</v>
      </c>
      <c r="B34" s="56"/>
      <c r="C34" s="56"/>
      <c r="D34" s="56"/>
      <c r="E34" s="58"/>
      <c r="F34" s="116"/>
      <c r="G34" s="92">
        <f t="shared" si="7"/>
        <v>47</v>
      </c>
      <c r="H34" s="56"/>
      <c r="I34" s="56"/>
      <c r="J34" s="56"/>
      <c r="K34" s="58"/>
      <c r="L34" s="61"/>
    </row>
    <row r="35" spans="1:12" ht="20.45" customHeight="1" x14ac:dyDescent="0.3">
      <c r="A35" s="91">
        <f t="shared" si="8"/>
        <v>18</v>
      </c>
      <c r="B35" s="56"/>
      <c r="C35" s="56"/>
      <c r="D35" s="56"/>
      <c r="E35" s="58"/>
      <c r="F35" s="116"/>
      <c r="G35" s="92">
        <f t="shared" si="7"/>
        <v>48</v>
      </c>
      <c r="H35" s="56"/>
      <c r="I35" s="56"/>
      <c r="J35" s="56"/>
      <c r="K35" s="58"/>
      <c r="L35" s="61"/>
    </row>
    <row r="36" spans="1:12" ht="20.45" customHeight="1" x14ac:dyDescent="0.3">
      <c r="A36" s="91">
        <f t="shared" si="8"/>
        <v>19</v>
      </c>
      <c r="B36" s="56"/>
      <c r="C36" s="56"/>
      <c r="D36" s="56"/>
      <c r="E36" s="58"/>
      <c r="F36" s="61"/>
      <c r="G36" s="92">
        <f t="shared" si="7"/>
        <v>49</v>
      </c>
      <c r="H36" s="56"/>
      <c r="I36" s="56"/>
      <c r="J36" s="56"/>
      <c r="K36" s="58"/>
      <c r="L36" s="61"/>
    </row>
    <row r="37" spans="1:12" ht="20.45" customHeight="1" x14ac:dyDescent="0.3">
      <c r="A37" s="91">
        <f t="shared" si="8"/>
        <v>20</v>
      </c>
      <c r="B37" s="56"/>
      <c r="C37" s="56"/>
      <c r="D37" s="56"/>
      <c r="E37" s="58"/>
      <c r="F37" s="61"/>
      <c r="G37" s="92">
        <f t="shared" si="7"/>
        <v>50</v>
      </c>
      <c r="H37" s="56"/>
      <c r="I37" s="56"/>
      <c r="J37" s="56"/>
      <c r="K37" s="58"/>
      <c r="L37" s="61"/>
    </row>
    <row r="38" spans="1:12" ht="20.45" customHeight="1" x14ac:dyDescent="0.3">
      <c r="A38" s="91">
        <f t="shared" si="8"/>
        <v>21</v>
      </c>
      <c r="B38" s="56"/>
      <c r="C38" s="56"/>
      <c r="D38" s="56"/>
      <c r="E38" s="58"/>
      <c r="F38" s="61"/>
      <c r="G38" s="92">
        <f t="shared" si="7"/>
        <v>51</v>
      </c>
      <c r="H38" s="56"/>
      <c r="I38" s="56"/>
      <c r="J38" s="56"/>
      <c r="K38" s="58"/>
      <c r="L38" s="61"/>
    </row>
    <row r="39" spans="1:12" ht="20.45" customHeight="1" x14ac:dyDescent="0.3">
      <c r="A39" s="91">
        <f t="shared" si="8"/>
        <v>22</v>
      </c>
      <c r="B39" s="56"/>
      <c r="C39" s="56"/>
      <c r="D39" s="56"/>
      <c r="E39" s="58"/>
      <c r="F39" s="58"/>
      <c r="G39" s="92">
        <f t="shared" si="7"/>
        <v>52</v>
      </c>
      <c r="H39" s="56"/>
      <c r="I39" s="56"/>
      <c r="J39" s="56"/>
      <c r="K39" s="58"/>
      <c r="L39" s="61"/>
    </row>
    <row r="40" spans="1:12" ht="20.45" customHeight="1" x14ac:dyDescent="0.3">
      <c r="A40" s="91">
        <f t="shared" si="8"/>
        <v>23</v>
      </c>
      <c r="B40" s="56"/>
      <c r="C40" s="56"/>
      <c r="D40" s="56"/>
      <c r="E40" s="58"/>
      <c r="F40" s="61"/>
      <c r="G40" s="92">
        <f t="shared" si="7"/>
        <v>53</v>
      </c>
      <c r="H40" s="56"/>
      <c r="I40" s="56"/>
      <c r="J40" s="56"/>
      <c r="K40" s="58"/>
      <c r="L40" s="61"/>
    </row>
    <row r="41" spans="1:12" ht="20.45" customHeight="1" x14ac:dyDescent="0.3">
      <c r="A41" s="91">
        <f t="shared" si="8"/>
        <v>24</v>
      </c>
      <c r="B41" s="56"/>
      <c r="C41" s="56"/>
      <c r="D41" s="56"/>
      <c r="E41" s="58"/>
      <c r="F41" s="61"/>
      <c r="G41" s="92">
        <f t="shared" si="7"/>
        <v>54</v>
      </c>
      <c r="H41" s="56"/>
      <c r="I41" s="56"/>
      <c r="J41" s="56"/>
      <c r="K41" s="58"/>
      <c r="L41" s="61"/>
    </row>
    <row r="42" spans="1:12" ht="20.45" customHeight="1" x14ac:dyDescent="0.3">
      <c r="A42" s="91">
        <f t="shared" si="8"/>
        <v>25</v>
      </c>
      <c r="B42" s="56"/>
      <c r="C42" s="56"/>
      <c r="D42" s="56"/>
      <c r="E42" s="58"/>
      <c r="F42" s="61"/>
      <c r="G42" s="92">
        <f t="shared" si="7"/>
        <v>55</v>
      </c>
      <c r="H42" s="56"/>
      <c r="I42" s="56"/>
      <c r="J42" s="56"/>
      <c r="K42" s="58"/>
      <c r="L42" s="61"/>
    </row>
    <row r="43" spans="1:12" ht="20.45" customHeight="1" x14ac:dyDescent="0.3">
      <c r="A43" s="91">
        <f t="shared" si="8"/>
        <v>26</v>
      </c>
      <c r="B43" s="56"/>
      <c r="C43" s="56"/>
      <c r="D43" s="56"/>
      <c r="E43" s="58"/>
      <c r="F43" s="61"/>
      <c r="G43" s="92">
        <f t="shared" si="7"/>
        <v>56</v>
      </c>
      <c r="H43" s="56"/>
      <c r="I43" s="56"/>
      <c r="J43" s="56"/>
      <c r="K43" s="58"/>
      <c r="L43" s="61"/>
    </row>
    <row r="44" spans="1:12" ht="20.45" customHeight="1" x14ac:dyDescent="0.3">
      <c r="A44" s="91">
        <f t="shared" si="8"/>
        <v>27</v>
      </c>
      <c r="B44" s="56"/>
      <c r="C44" s="56"/>
      <c r="D44" s="56"/>
      <c r="E44" s="58"/>
      <c r="F44" s="61"/>
      <c r="G44" s="92">
        <f t="shared" si="7"/>
        <v>57</v>
      </c>
      <c r="H44" s="56"/>
      <c r="I44" s="56"/>
      <c r="J44" s="56"/>
      <c r="K44" s="58"/>
      <c r="L44" s="61"/>
    </row>
    <row r="45" spans="1:12" ht="20.45" customHeight="1" x14ac:dyDescent="0.3">
      <c r="A45" s="91">
        <f t="shared" si="8"/>
        <v>28</v>
      </c>
      <c r="B45" s="56"/>
      <c r="C45" s="56"/>
      <c r="D45" s="56"/>
      <c r="E45" s="58"/>
      <c r="F45" s="58"/>
      <c r="G45" s="92">
        <f t="shared" si="7"/>
        <v>58</v>
      </c>
      <c r="H45" s="56"/>
      <c r="I45" s="56"/>
      <c r="J45" s="56"/>
      <c r="K45" s="58"/>
      <c r="L45" s="61"/>
    </row>
    <row r="46" spans="1:12" ht="20.45" customHeight="1" x14ac:dyDescent="0.3">
      <c r="A46" s="91">
        <f t="shared" si="8"/>
        <v>29</v>
      </c>
      <c r="B46" s="56"/>
      <c r="C46" s="56"/>
      <c r="D46" s="56"/>
      <c r="E46" s="58"/>
      <c r="F46" s="61"/>
      <c r="G46" s="92">
        <f t="shared" si="7"/>
        <v>59</v>
      </c>
      <c r="H46" s="56"/>
      <c r="I46" s="56"/>
      <c r="J46" s="56"/>
      <c r="K46" s="58"/>
      <c r="L46" s="61"/>
    </row>
    <row r="47" spans="1:12" ht="20.45" customHeight="1" x14ac:dyDescent="0.3">
      <c r="A47" s="111">
        <f t="shared" si="8"/>
        <v>30</v>
      </c>
      <c r="B47" s="112"/>
      <c r="C47" s="112"/>
      <c r="D47" s="112"/>
      <c r="E47" s="113"/>
      <c r="F47" s="115"/>
      <c r="G47" s="114">
        <f t="shared" si="7"/>
        <v>60</v>
      </c>
      <c r="H47" s="112"/>
      <c r="I47" s="112"/>
      <c r="J47" s="112"/>
      <c r="K47" s="113"/>
      <c r="L47" s="11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2:F35">
    <sortCondition ref="E33:E35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3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5EDC9-792F-4BBC-B53A-0BE13A0EF65A}">
  <sheetPr codeName="Sheet12">
    <tabColor rgb="FFFF0000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'261010'!C5:F5+1</f>
        <v>46306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'261010'!F8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'261010'!L8</f>
        <v>0</v>
      </c>
      <c r="L8" s="42">
        <f t="shared" ref="L8:L13" si="3">I8+K8</f>
        <v>0</v>
      </c>
    </row>
    <row r="9" spans="1:14" ht="21.95" customHeight="1" x14ac:dyDescent="0.3">
      <c r="A9" s="4">
        <v>2</v>
      </c>
      <c r="B9" s="103" t="str">
        <f>'261001'!B9</f>
        <v>관리자</v>
      </c>
      <c r="C9" s="142">
        <f t="shared" si="0"/>
        <v>0</v>
      </c>
      <c r="D9" s="142"/>
      <c r="E9" s="38">
        <f>'261010'!F9</f>
        <v>0</v>
      </c>
      <c r="F9" s="34">
        <f t="shared" si="1"/>
        <v>0</v>
      </c>
      <c r="G9" s="8">
        <v>9</v>
      </c>
      <c r="H9" s="32" t="str">
        <f>'261001'!H9</f>
        <v>수장</v>
      </c>
      <c r="I9" s="142">
        <f t="shared" si="2"/>
        <v>0</v>
      </c>
      <c r="J9" s="142"/>
      <c r="K9" s="34">
        <f>'261010'!L9</f>
        <v>0</v>
      </c>
      <c r="L9" s="34">
        <f t="shared" si="3"/>
        <v>0</v>
      </c>
    </row>
    <row r="10" spans="1:14" ht="21.95" customHeight="1" x14ac:dyDescent="0.3">
      <c r="A10" s="4">
        <v>3</v>
      </c>
      <c r="B10" s="103" t="str">
        <f>'261001'!B10</f>
        <v>직영</v>
      </c>
      <c r="C10" s="142">
        <f t="shared" si="0"/>
        <v>0</v>
      </c>
      <c r="D10" s="142"/>
      <c r="E10" s="38">
        <f>'261010'!F10</f>
        <v>0</v>
      </c>
      <c r="F10" s="34">
        <f t="shared" si="1"/>
        <v>0</v>
      </c>
      <c r="G10" s="8"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'261010'!L10</f>
        <v>0</v>
      </c>
      <c r="L10" s="34">
        <f t="shared" si="3"/>
        <v>0</v>
      </c>
    </row>
    <row r="11" spans="1:14" ht="21.95" customHeight="1" x14ac:dyDescent="0.3">
      <c r="A11" s="4">
        <v>4</v>
      </c>
      <c r="B11" s="103" t="str">
        <f>'261001'!B11</f>
        <v>단열</v>
      </c>
      <c r="C11" s="142">
        <f t="shared" si="0"/>
        <v>0</v>
      </c>
      <c r="D11" s="142"/>
      <c r="E11" s="38">
        <f>'261010'!F11</f>
        <v>0</v>
      </c>
      <c r="F11" s="34">
        <f t="shared" si="1"/>
        <v>0</v>
      </c>
      <c r="G11" s="8">
        <f>G10+1</f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'261010'!L11</f>
        <v>0</v>
      </c>
      <c r="L11" s="34">
        <f t="shared" si="3"/>
        <v>0</v>
      </c>
    </row>
    <row r="12" spans="1:14" ht="21.95" customHeight="1" x14ac:dyDescent="0.3">
      <c r="A12" s="4">
        <v>5</v>
      </c>
      <c r="B12" s="103" t="str">
        <f>'261001'!B12</f>
        <v>경량</v>
      </c>
      <c r="C12" s="142">
        <f t="shared" si="0"/>
        <v>0</v>
      </c>
      <c r="D12" s="142"/>
      <c r="E12" s="38">
        <f>'261010'!F12</f>
        <v>0</v>
      </c>
      <c r="F12" s="34">
        <f t="shared" si="1"/>
        <v>0</v>
      </c>
      <c r="G12" s="8">
        <f>G11+1</f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'261010'!L12</f>
        <v>0</v>
      </c>
      <c r="L12" s="34">
        <f t="shared" si="3"/>
        <v>0</v>
      </c>
    </row>
    <row r="13" spans="1:14" ht="21.95" customHeight="1" x14ac:dyDescent="0.3">
      <c r="A13" s="4">
        <v>6</v>
      </c>
      <c r="B13" s="103" t="str">
        <f>'261001'!B13</f>
        <v>합지</v>
      </c>
      <c r="C13" s="142">
        <f t="shared" si="0"/>
        <v>0</v>
      </c>
      <c r="D13" s="142"/>
      <c r="E13" s="38">
        <f>'261010'!F13</f>
        <v>0</v>
      </c>
      <c r="F13" s="34">
        <f t="shared" si="1"/>
        <v>0</v>
      </c>
      <c r="G13" s="8">
        <f>G12+1</f>
        <v>13</v>
      </c>
      <c r="H13" s="32">
        <f>'261001'!H13</f>
        <v>0</v>
      </c>
      <c r="I13" s="142">
        <f t="shared" si="2"/>
        <v>0</v>
      </c>
      <c r="J13" s="142"/>
      <c r="K13" s="34">
        <f>'261010'!L13</f>
        <v>0</v>
      </c>
      <c r="L13" s="34">
        <f t="shared" si="3"/>
        <v>0</v>
      </c>
    </row>
    <row r="14" spans="1:14" ht="21.95" customHeight="1" x14ac:dyDescent="0.3">
      <c r="A14" s="5">
        <v>7</v>
      </c>
      <c r="B14" s="104" t="str">
        <f>'261001'!B14</f>
        <v>천정</v>
      </c>
      <c r="C14" s="150">
        <f t="shared" si="0"/>
        <v>0</v>
      </c>
      <c r="D14" s="150"/>
      <c r="E14" s="39">
        <f>'261010'!F14</f>
        <v>0</v>
      </c>
      <c r="F14" s="40">
        <f t="shared" ref="F14" si="4">C14+E14</f>
        <v>0</v>
      </c>
      <c r="G14" s="9">
        <f>G13+1</f>
        <v>14</v>
      </c>
      <c r="H14" s="33">
        <f>'261001'!H14</f>
        <v>0</v>
      </c>
      <c r="I14" s="150">
        <f t="shared" si="2"/>
        <v>0</v>
      </c>
      <c r="J14" s="150"/>
      <c r="K14" s="40">
        <f>'261010'!L14</f>
        <v>0</v>
      </c>
      <c r="L14" s="40">
        <f t="shared" ref="L14" si="5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6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6"/>
        <v>3</v>
      </c>
      <c r="B20" s="56"/>
      <c r="C20" s="56"/>
      <c r="D20" s="56"/>
      <c r="E20" s="58"/>
      <c r="F20" s="58"/>
      <c r="G20" s="11">
        <f t="shared" ref="G20:G47" si="7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6"/>
        <v>4</v>
      </c>
      <c r="B21" s="56"/>
      <c r="C21" s="56"/>
      <c r="D21" s="56"/>
      <c r="E21" s="58"/>
      <c r="F21" s="125"/>
      <c r="G21" s="11">
        <f t="shared" si="7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6"/>
        <v>5</v>
      </c>
      <c r="B22" s="56"/>
      <c r="C22" s="56"/>
      <c r="D22" s="56"/>
      <c r="E22" s="58"/>
      <c r="F22" s="58"/>
      <c r="G22" s="11">
        <f t="shared" si="7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6"/>
        <v>6</v>
      </c>
      <c r="B23" s="56"/>
      <c r="C23" s="56"/>
      <c r="D23" s="56"/>
      <c r="E23" s="58"/>
      <c r="F23" s="58"/>
      <c r="G23" s="92">
        <f t="shared" si="7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6"/>
        <v>7</v>
      </c>
      <c r="B24" s="56"/>
      <c r="C24" s="56"/>
      <c r="D24" s="56"/>
      <c r="E24" s="58"/>
      <c r="F24" s="58"/>
      <c r="G24" s="92">
        <f t="shared" si="7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6"/>
        <v>8</v>
      </c>
      <c r="B25" s="56"/>
      <c r="C25" s="56"/>
      <c r="D25" s="56"/>
      <c r="E25" s="58"/>
      <c r="F25" s="58"/>
      <c r="G25" s="92">
        <f t="shared" si="7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6"/>
        <v>9</v>
      </c>
      <c r="B26" s="56"/>
      <c r="C26" s="56"/>
      <c r="D26" s="56"/>
      <c r="E26" s="58"/>
      <c r="F26" s="125"/>
      <c r="G26" s="92">
        <f t="shared" si="7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6"/>
        <v>10</v>
      </c>
      <c r="B27" s="56"/>
      <c r="C27" s="56"/>
      <c r="D27" s="56"/>
      <c r="E27" s="58"/>
      <c r="F27" s="125"/>
      <c r="G27" s="92">
        <f t="shared" si="7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6"/>
        <v>11</v>
      </c>
      <c r="B28" s="56"/>
      <c r="C28" s="56"/>
      <c r="D28" s="56"/>
      <c r="E28" s="119"/>
      <c r="F28" s="120"/>
      <c r="G28" s="92">
        <f t="shared" si="7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6"/>
        <v>12</v>
      </c>
      <c r="B29" s="56"/>
      <c r="C29" s="56"/>
      <c r="D29" s="56"/>
      <c r="E29" s="58"/>
      <c r="F29" s="58"/>
      <c r="G29" s="92">
        <f t="shared" si="7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6"/>
        <v>13</v>
      </c>
      <c r="B30" s="56"/>
      <c r="C30" s="56"/>
      <c r="D30" s="56"/>
      <c r="E30" s="58"/>
      <c r="F30" s="61"/>
      <c r="G30" s="92">
        <f t="shared" si="7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6"/>
        <v>14</v>
      </c>
      <c r="B31" s="56"/>
      <c r="C31" s="56"/>
      <c r="D31" s="56"/>
      <c r="E31" s="58"/>
      <c r="F31" s="61"/>
      <c r="G31" s="92">
        <f t="shared" si="7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92">
        <f t="shared" si="7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8">A32+1</f>
        <v>16</v>
      </c>
      <c r="B33" s="56"/>
      <c r="C33" s="56"/>
      <c r="D33" s="56"/>
      <c r="E33" s="58"/>
      <c r="F33" s="116"/>
      <c r="G33" s="92">
        <f t="shared" si="7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8"/>
        <v>17</v>
      </c>
      <c r="B34" s="56"/>
      <c r="C34" s="56"/>
      <c r="D34" s="56"/>
      <c r="E34" s="58"/>
      <c r="F34" s="116"/>
      <c r="G34" s="92">
        <f t="shared" si="7"/>
        <v>47</v>
      </c>
      <c r="H34" s="56"/>
      <c r="I34" s="56"/>
      <c r="J34" s="56"/>
      <c r="K34" s="58"/>
      <c r="L34" s="125"/>
    </row>
    <row r="35" spans="1:12" ht="20.45" customHeight="1" x14ac:dyDescent="0.3">
      <c r="A35" s="10">
        <f t="shared" si="8"/>
        <v>18</v>
      </c>
      <c r="B35" s="56"/>
      <c r="C35" s="56"/>
      <c r="D35" s="56"/>
      <c r="E35" s="58"/>
      <c r="F35" s="61"/>
      <c r="G35" s="92">
        <f t="shared" si="7"/>
        <v>48</v>
      </c>
      <c r="H35" s="56"/>
      <c r="I35" s="56"/>
      <c r="J35" s="56"/>
      <c r="K35" s="58"/>
      <c r="L35" s="125"/>
    </row>
    <row r="36" spans="1:12" ht="20.45" customHeight="1" x14ac:dyDescent="0.3">
      <c r="A36" s="10">
        <f t="shared" si="8"/>
        <v>19</v>
      </c>
      <c r="B36" s="56"/>
      <c r="C36" s="56"/>
      <c r="D36" s="56"/>
      <c r="E36" s="58"/>
      <c r="F36" s="61"/>
      <c r="G36" s="92">
        <f t="shared" si="7"/>
        <v>49</v>
      </c>
      <c r="H36" s="56"/>
      <c r="I36" s="56"/>
      <c r="J36" s="56"/>
      <c r="K36" s="58"/>
      <c r="L36" s="61"/>
    </row>
    <row r="37" spans="1:12" ht="20.45" customHeight="1" x14ac:dyDescent="0.3">
      <c r="A37" s="10">
        <f t="shared" si="8"/>
        <v>20</v>
      </c>
      <c r="B37" s="56"/>
      <c r="C37" s="56"/>
      <c r="D37" s="56"/>
      <c r="E37" s="58"/>
      <c r="F37" s="61"/>
      <c r="G37" s="92">
        <f t="shared" si="7"/>
        <v>50</v>
      </c>
      <c r="H37" s="56"/>
      <c r="I37" s="56"/>
      <c r="J37" s="56"/>
      <c r="K37" s="58"/>
      <c r="L37" s="61"/>
    </row>
    <row r="38" spans="1:12" ht="20.45" customHeight="1" x14ac:dyDescent="0.3">
      <c r="A38" s="10">
        <f t="shared" si="8"/>
        <v>21</v>
      </c>
      <c r="B38" s="56"/>
      <c r="C38" s="56"/>
      <c r="D38" s="56"/>
      <c r="E38" s="58"/>
      <c r="F38" s="58"/>
      <c r="G38" s="92">
        <f t="shared" si="7"/>
        <v>51</v>
      </c>
      <c r="H38" s="56"/>
      <c r="I38" s="56"/>
      <c r="J38" s="56"/>
      <c r="K38" s="58"/>
      <c r="L38" s="61"/>
    </row>
    <row r="39" spans="1:12" ht="20.45" customHeight="1" x14ac:dyDescent="0.3">
      <c r="A39" s="10">
        <f t="shared" si="8"/>
        <v>22</v>
      </c>
      <c r="B39" s="56"/>
      <c r="C39" s="56"/>
      <c r="D39" s="56"/>
      <c r="E39" s="58"/>
      <c r="F39" s="58"/>
      <c r="G39" s="92">
        <f t="shared" si="7"/>
        <v>52</v>
      </c>
      <c r="H39" s="56"/>
      <c r="I39" s="56"/>
      <c r="J39" s="56"/>
      <c r="K39" s="58"/>
      <c r="L39" s="61"/>
    </row>
    <row r="40" spans="1:12" ht="20.45" customHeight="1" x14ac:dyDescent="0.3">
      <c r="A40" s="10">
        <f t="shared" si="8"/>
        <v>23</v>
      </c>
      <c r="B40" s="59"/>
      <c r="C40" s="59"/>
      <c r="D40" s="59"/>
      <c r="E40" s="58"/>
      <c r="F40" s="125"/>
      <c r="G40" s="92">
        <f t="shared" si="7"/>
        <v>53</v>
      </c>
      <c r="H40" s="56"/>
      <c r="I40" s="56"/>
      <c r="J40" s="56"/>
      <c r="K40" s="58"/>
      <c r="L40" s="61"/>
    </row>
    <row r="41" spans="1:12" ht="20.45" customHeight="1" x14ac:dyDescent="0.3">
      <c r="A41" s="10">
        <f t="shared" si="8"/>
        <v>24</v>
      </c>
      <c r="B41" s="56"/>
      <c r="C41" s="56"/>
      <c r="D41" s="56"/>
      <c r="E41" s="58"/>
      <c r="F41" s="116"/>
      <c r="G41" s="92">
        <f t="shared" si="7"/>
        <v>54</v>
      </c>
      <c r="H41" s="56"/>
      <c r="I41" s="56"/>
      <c r="J41" s="56"/>
      <c r="K41" s="58"/>
      <c r="L41" s="61"/>
    </row>
    <row r="42" spans="1:12" ht="20.45" customHeight="1" x14ac:dyDescent="0.3">
      <c r="A42" s="10">
        <f t="shared" si="8"/>
        <v>25</v>
      </c>
      <c r="B42" s="56"/>
      <c r="C42" s="56"/>
      <c r="D42" s="56"/>
      <c r="E42" s="58"/>
      <c r="F42" s="116"/>
      <c r="G42" s="92">
        <f t="shared" si="7"/>
        <v>55</v>
      </c>
      <c r="H42" s="56"/>
      <c r="I42" s="56"/>
      <c r="J42" s="93"/>
      <c r="K42" s="58"/>
      <c r="L42" s="61"/>
    </row>
    <row r="43" spans="1:12" ht="20.45" customHeight="1" x14ac:dyDescent="0.3">
      <c r="A43" s="10">
        <f t="shared" si="8"/>
        <v>26</v>
      </c>
      <c r="B43" s="56"/>
      <c r="C43" s="56"/>
      <c r="D43" s="56"/>
      <c r="E43" s="58"/>
      <c r="F43" s="116"/>
      <c r="G43" s="92">
        <f t="shared" si="7"/>
        <v>56</v>
      </c>
      <c r="H43" s="56"/>
      <c r="I43" s="56"/>
      <c r="J43" s="93"/>
      <c r="K43" s="58"/>
      <c r="L43" s="61"/>
    </row>
    <row r="44" spans="1:12" ht="20.45" customHeight="1" x14ac:dyDescent="0.3">
      <c r="A44" s="10">
        <f t="shared" si="8"/>
        <v>27</v>
      </c>
      <c r="B44" s="56"/>
      <c r="C44" s="56"/>
      <c r="D44" s="56"/>
      <c r="E44" s="58"/>
      <c r="F44" s="61"/>
      <c r="G44" s="92">
        <f t="shared" si="7"/>
        <v>57</v>
      </c>
      <c r="H44" s="56"/>
      <c r="I44" s="56"/>
      <c r="J44" s="56"/>
      <c r="K44" s="58"/>
      <c r="L44" s="61"/>
    </row>
    <row r="45" spans="1:12" ht="20.45" customHeight="1" x14ac:dyDescent="0.3">
      <c r="A45" s="10">
        <f t="shared" si="8"/>
        <v>28</v>
      </c>
      <c r="B45" s="56"/>
      <c r="C45" s="56"/>
      <c r="D45" s="56"/>
      <c r="E45" s="58"/>
      <c r="F45" s="58"/>
      <c r="G45" s="92">
        <f t="shared" si="7"/>
        <v>58</v>
      </c>
      <c r="H45" s="56"/>
      <c r="I45" s="56"/>
      <c r="J45" s="56"/>
      <c r="K45" s="58"/>
      <c r="L45" s="61"/>
    </row>
    <row r="46" spans="1:12" ht="20.45" customHeight="1" x14ac:dyDescent="0.3">
      <c r="A46" s="10">
        <f t="shared" si="8"/>
        <v>29</v>
      </c>
      <c r="B46" s="56"/>
      <c r="C46" s="56"/>
      <c r="D46" s="56"/>
      <c r="E46" s="58"/>
      <c r="F46" s="58"/>
      <c r="G46" s="92">
        <f t="shared" si="7"/>
        <v>59</v>
      </c>
      <c r="H46" s="56"/>
      <c r="I46" s="56"/>
      <c r="J46" s="56"/>
      <c r="K46" s="58"/>
      <c r="L46" s="61"/>
    </row>
    <row r="47" spans="1:12" ht="20.45" customHeight="1" x14ac:dyDescent="0.3">
      <c r="A47" s="117">
        <f t="shared" si="8"/>
        <v>30</v>
      </c>
      <c r="B47" s="112"/>
      <c r="C47" s="112"/>
      <c r="D47" s="112"/>
      <c r="E47" s="113"/>
      <c r="F47" s="113"/>
      <c r="G47" s="114">
        <f t="shared" si="7"/>
        <v>60</v>
      </c>
      <c r="H47" s="112"/>
      <c r="I47" s="112"/>
      <c r="J47" s="112"/>
      <c r="K47" s="113"/>
      <c r="L47" s="11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7:F31">
    <sortCondition ref="E27:E31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3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A5FD3-DF35-41DC-94D8-2991AB81E17E}">
  <sheetPr codeName="Sheet13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70" t="s">
        <v>11</v>
      </c>
      <c r="B1" s="171"/>
      <c r="C1" s="171"/>
      <c r="D1" s="171"/>
      <c r="E1" s="171"/>
      <c r="F1" s="171"/>
      <c r="G1" s="174" t="s">
        <v>24</v>
      </c>
      <c r="H1" s="174"/>
      <c r="I1" s="174" t="s">
        <v>25</v>
      </c>
      <c r="J1" s="174"/>
      <c r="K1" s="65" t="s">
        <v>26</v>
      </c>
      <c r="L1" s="66" t="s">
        <v>27</v>
      </c>
    </row>
    <row r="2" spans="1:14" ht="24.95" customHeight="1" x14ac:dyDescent="0.3">
      <c r="A2" s="172"/>
      <c r="B2" s="173"/>
      <c r="C2" s="173"/>
      <c r="D2" s="173"/>
      <c r="E2" s="173"/>
      <c r="F2" s="173"/>
      <c r="G2" s="163"/>
      <c r="H2" s="163"/>
      <c r="I2" s="163"/>
      <c r="J2" s="163"/>
      <c r="K2" s="163"/>
      <c r="L2" s="163"/>
    </row>
    <row r="3" spans="1:14" ht="21.95" customHeight="1" x14ac:dyDescent="0.3">
      <c r="A3" s="156" t="s">
        <v>13</v>
      </c>
      <c r="B3" s="156"/>
      <c r="C3" s="166" t="s">
        <v>22</v>
      </c>
      <c r="D3" s="167"/>
      <c r="E3" s="167"/>
      <c r="F3" s="167"/>
      <c r="G3" s="164"/>
      <c r="H3" s="164"/>
      <c r="I3" s="164"/>
      <c r="J3" s="164"/>
      <c r="K3" s="164"/>
      <c r="L3" s="164"/>
    </row>
    <row r="4" spans="1:14" ht="21.95" customHeight="1" x14ac:dyDescent="0.3">
      <c r="A4" s="156" t="s">
        <v>21</v>
      </c>
      <c r="B4" s="156"/>
      <c r="C4" s="166" t="s">
        <v>23</v>
      </c>
      <c r="D4" s="167"/>
      <c r="E4" s="167"/>
      <c r="F4" s="167"/>
      <c r="G4" s="164"/>
      <c r="H4" s="164"/>
      <c r="I4" s="164"/>
      <c r="J4" s="164"/>
      <c r="K4" s="164"/>
      <c r="L4" s="164"/>
    </row>
    <row r="5" spans="1:14" ht="21.95" customHeight="1" x14ac:dyDescent="0.3">
      <c r="A5" s="157" t="s">
        <v>20</v>
      </c>
      <c r="B5" s="157"/>
      <c r="C5" s="168">
        <f>'261011'!C5:F5+1</f>
        <v>46307</v>
      </c>
      <c r="D5" s="169"/>
      <c r="E5" s="169"/>
      <c r="F5" s="169"/>
      <c r="G5" s="165"/>
      <c r="H5" s="165"/>
      <c r="I5" s="165"/>
      <c r="J5" s="165"/>
      <c r="K5" s="165"/>
      <c r="L5" s="165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67" t="s">
        <v>0</v>
      </c>
      <c r="B7" s="67" t="s">
        <v>1</v>
      </c>
      <c r="C7" s="175" t="s">
        <v>7</v>
      </c>
      <c r="D7" s="175"/>
      <c r="E7" s="67" t="s">
        <v>8</v>
      </c>
      <c r="F7" s="67" t="s">
        <v>9</v>
      </c>
      <c r="G7" s="68" t="s">
        <v>0</v>
      </c>
      <c r="H7" s="67" t="s">
        <v>1</v>
      </c>
      <c r="I7" s="175" t="s">
        <v>7</v>
      </c>
      <c r="J7" s="175"/>
      <c r="K7" s="67" t="s">
        <v>8</v>
      </c>
      <c r="L7" s="67" t="s">
        <v>9</v>
      </c>
      <c r="N7" s="2">
        <f>COUNTIF(C18:C47,I18:I47)</f>
        <v>0</v>
      </c>
    </row>
    <row r="8" spans="1:14" ht="21.95" customHeight="1" x14ac:dyDescent="0.3">
      <c r="A8" s="69">
        <v>1</v>
      </c>
      <c r="B8" s="70" t="str">
        <f>'261001'!B8</f>
        <v>소장</v>
      </c>
      <c r="C8" s="176">
        <f t="shared" ref="C8:C14" si="0">COUNTIF($B$18:$B$47,$B8)+COUNTIF($H$18:$H$47,$B8)</f>
        <v>0</v>
      </c>
      <c r="D8" s="176"/>
      <c r="E8" s="72">
        <f>'261011'!F8</f>
        <v>0</v>
      </c>
      <c r="F8" s="71">
        <f t="shared" ref="F8:F13" si="1">C8+E8</f>
        <v>0</v>
      </c>
      <c r="G8" s="73">
        <v>8</v>
      </c>
      <c r="H8" s="74" t="str">
        <f>'261001'!H8</f>
        <v>몰딩</v>
      </c>
      <c r="I8" s="176">
        <f t="shared" ref="I8:I14" si="2">COUNTIF($B$18:$B$47,$H8)+COUNTIF($H$18:$H$47,$H8)</f>
        <v>0</v>
      </c>
      <c r="J8" s="176"/>
      <c r="K8" s="71">
        <f>'261011'!L8</f>
        <v>0</v>
      </c>
      <c r="L8" s="71">
        <f t="shared" ref="L8:L13" si="3">I8+K8</f>
        <v>0</v>
      </c>
    </row>
    <row r="9" spans="1:14" ht="21.95" customHeight="1" x14ac:dyDescent="0.3">
      <c r="A9" s="75">
        <f>A8+1</f>
        <v>2</v>
      </c>
      <c r="B9" s="76" t="str">
        <f>'261001'!B9</f>
        <v>관리자</v>
      </c>
      <c r="C9" s="177">
        <f t="shared" si="0"/>
        <v>0</v>
      </c>
      <c r="D9" s="177"/>
      <c r="E9" s="78">
        <f>'261011'!F9</f>
        <v>0</v>
      </c>
      <c r="F9" s="77">
        <f t="shared" si="1"/>
        <v>0</v>
      </c>
      <c r="G9" s="79">
        <f>G8+1</f>
        <v>9</v>
      </c>
      <c r="H9" s="80" t="str">
        <f>'261001'!H9</f>
        <v>수장</v>
      </c>
      <c r="I9" s="177">
        <f t="shared" si="2"/>
        <v>0</v>
      </c>
      <c r="J9" s="177"/>
      <c r="K9" s="77">
        <f>'261011'!L9</f>
        <v>0</v>
      </c>
      <c r="L9" s="77">
        <f t="shared" si="3"/>
        <v>0</v>
      </c>
    </row>
    <row r="10" spans="1:14" ht="21.95" customHeight="1" x14ac:dyDescent="0.3">
      <c r="A10" s="75">
        <f t="shared" ref="A10:A13" si="4">A9+1</f>
        <v>3</v>
      </c>
      <c r="B10" s="76" t="str">
        <f>'261001'!B10</f>
        <v>직영</v>
      </c>
      <c r="C10" s="177">
        <f t="shared" si="0"/>
        <v>0</v>
      </c>
      <c r="D10" s="177"/>
      <c r="E10" s="78">
        <f>'261011'!F10</f>
        <v>0</v>
      </c>
      <c r="F10" s="77">
        <f t="shared" si="1"/>
        <v>0</v>
      </c>
      <c r="G10" s="79">
        <f t="shared" ref="G10:G14" si="5">G9+1</f>
        <v>10</v>
      </c>
      <c r="H10" s="80" t="str">
        <f>'261001'!H10</f>
        <v>걸레받이</v>
      </c>
      <c r="I10" s="177">
        <f t="shared" si="2"/>
        <v>0</v>
      </c>
      <c r="J10" s="177"/>
      <c r="K10" s="77">
        <f>'261011'!L10</f>
        <v>0</v>
      </c>
      <c r="L10" s="77">
        <f t="shared" si="3"/>
        <v>0</v>
      </c>
    </row>
    <row r="11" spans="1:14" ht="21.95" customHeight="1" x14ac:dyDescent="0.3">
      <c r="A11" s="75">
        <f t="shared" si="4"/>
        <v>4</v>
      </c>
      <c r="B11" s="76" t="str">
        <f>'261001'!B11</f>
        <v>단열</v>
      </c>
      <c r="C11" s="177">
        <f t="shared" si="0"/>
        <v>0</v>
      </c>
      <c r="D11" s="177"/>
      <c r="E11" s="78">
        <f>'261011'!F11</f>
        <v>0</v>
      </c>
      <c r="F11" s="77">
        <f t="shared" si="1"/>
        <v>0</v>
      </c>
      <c r="G11" s="79">
        <f t="shared" si="5"/>
        <v>11</v>
      </c>
      <c r="H11" s="80" t="str">
        <f>'261001'!H11</f>
        <v>아트월</v>
      </c>
      <c r="I11" s="177">
        <f t="shared" si="2"/>
        <v>0</v>
      </c>
      <c r="J11" s="177"/>
      <c r="K11" s="77">
        <f>'261011'!L11</f>
        <v>0</v>
      </c>
      <c r="L11" s="77">
        <f t="shared" si="3"/>
        <v>0</v>
      </c>
    </row>
    <row r="12" spans="1:14" ht="21.95" customHeight="1" x14ac:dyDescent="0.3">
      <c r="A12" s="75">
        <f t="shared" si="4"/>
        <v>5</v>
      </c>
      <c r="B12" s="76" t="str">
        <f>'261001'!B12</f>
        <v>경량</v>
      </c>
      <c r="C12" s="177">
        <f t="shared" si="0"/>
        <v>0</v>
      </c>
      <c r="D12" s="177"/>
      <c r="E12" s="78">
        <f>'261011'!F12</f>
        <v>0</v>
      </c>
      <c r="F12" s="77">
        <f t="shared" si="1"/>
        <v>0</v>
      </c>
      <c r="G12" s="79">
        <f t="shared" si="5"/>
        <v>12</v>
      </c>
      <c r="H12" s="80" t="str">
        <f>'261001'!H12</f>
        <v>큐비클</v>
      </c>
      <c r="I12" s="177">
        <f t="shared" si="2"/>
        <v>0</v>
      </c>
      <c r="J12" s="177"/>
      <c r="K12" s="77">
        <f>'261011'!L12</f>
        <v>0</v>
      </c>
      <c r="L12" s="77">
        <f t="shared" si="3"/>
        <v>0</v>
      </c>
    </row>
    <row r="13" spans="1:14" ht="21.95" customHeight="1" x14ac:dyDescent="0.3">
      <c r="A13" s="75">
        <f t="shared" si="4"/>
        <v>6</v>
      </c>
      <c r="B13" s="76" t="str">
        <f>'261001'!B13</f>
        <v>합지</v>
      </c>
      <c r="C13" s="177">
        <f t="shared" si="0"/>
        <v>0</v>
      </c>
      <c r="D13" s="177"/>
      <c r="E13" s="78">
        <f>'261011'!F13</f>
        <v>0</v>
      </c>
      <c r="F13" s="77">
        <f t="shared" si="1"/>
        <v>0</v>
      </c>
      <c r="G13" s="79">
        <f t="shared" si="5"/>
        <v>13</v>
      </c>
      <c r="H13" s="80">
        <f>'261001'!H13</f>
        <v>0</v>
      </c>
      <c r="I13" s="177">
        <f t="shared" si="2"/>
        <v>0</v>
      </c>
      <c r="J13" s="177"/>
      <c r="K13" s="77">
        <f>'261011'!L13</f>
        <v>0</v>
      </c>
      <c r="L13" s="77">
        <f t="shared" si="3"/>
        <v>0</v>
      </c>
    </row>
    <row r="14" spans="1:14" ht="21.95" customHeight="1" x14ac:dyDescent="0.3">
      <c r="A14" s="81">
        <f t="shared" ref="A14" si="6">A13+1</f>
        <v>7</v>
      </c>
      <c r="B14" s="82" t="str">
        <f>'261001'!B14</f>
        <v>천정</v>
      </c>
      <c r="C14" s="178">
        <f t="shared" si="0"/>
        <v>0</v>
      </c>
      <c r="D14" s="178"/>
      <c r="E14" s="84">
        <f>'261011'!F14</f>
        <v>0</v>
      </c>
      <c r="F14" s="83">
        <f t="shared" ref="F14" si="7">C14+E14</f>
        <v>0</v>
      </c>
      <c r="G14" s="85">
        <f t="shared" si="5"/>
        <v>14</v>
      </c>
      <c r="H14" s="102">
        <f>'261001'!H14</f>
        <v>0</v>
      </c>
      <c r="I14" s="178">
        <f t="shared" si="2"/>
        <v>0</v>
      </c>
      <c r="J14" s="178"/>
      <c r="K14" s="83">
        <f>'261011'!L14</f>
        <v>0</v>
      </c>
      <c r="L14" s="83">
        <f t="shared" ref="L14" si="8">I14+K14</f>
        <v>0</v>
      </c>
    </row>
    <row r="15" spans="1:14" ht="12" customHeight="1" x14ac:dyDescent="0.3">
      <c r="A15" s="86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8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89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61"/>
    </row>
    <row r="19" spans="1:12" ht="20.45" customHeight="1" x14ac:dyDescent="0.3">
      <c r="A19" s="91">
        <f t="shared" ref="A19:A31" si="9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91">
        <f t="shared" si="9"/>
        <v>3</v>
      </c>
      <c r="B20" s="56"/>
      <c r="C20" s="56"/>
      <c r="D20" s="56"/>
      <c r="E20" s="58"/>
      <c r="F20" s="58"/>
      <c r="G20" s="92">
        <f t="shared" ref="G20:G47" si="10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91">
        <f t="shared" si="9"/>
        <v>4</v>
      </c>
      <c r="B21" s="56"/>
      <c r="C21" s="56"/>
      <c r="D21" s="56"/>
      <c r="E21" s="58"/>
      <c r="F21" s="125"/>
      <c r="G21" s="92">
        <f t="shared" si="10"/>
        <v>34</v>
      </c>
      <c r="H21" s="56"/>
      <c r="I21" s="56"/>
      <c r="J21" s="56"/>
      <c r="K21" s="58"/>
      <c r="L21" s="61"/>
    </row>
    <row r="22" spans="1:12" ht="20.45" customHeight="1" x14ac:dyDescent="0.3">
      <c r="A22" s="91">
        <f t="shared" si="9"/>
        <v>5</v>
      </c>
      <c r="B22" s="56"/>
      <c r="C22" s="56"/>
      <c r="D22" s="56"/>
      <c r="E22" s="58"/>
      <c r="F22" s="58"/>
      <c r="G22" s="92">
        <f t="shared" si="10"/>
        <v>35</v>
      </c>
      <c r="H22" s="56"/>
      <c r="I22" s="56"/>
      <c r="J22" s="56"/>
      <c r="K22" s="58"/>
      <c r="L22" s="61"/>
    </row>
    <row r="23" spans="1:12" ht="20.45" customHeight="1" x14ac:dyDescent="0.3">
      <c r="A23" s="91">
        <f t="shared" si="9"/>
        <v>6</v>
      </c>
      <c r="B23" s="56"/>
      <c r="C23" s="56"/>
      <c r="D23" s="56"/>
      <c r="E23" s="58"/>
      <c r="F23" s="58"/>
      <c r="G23" s="92">
        <f t="shared" si="10"/>
        <v>36</v>
      </c>
      <c r="H23" s="56"/>
      <c r="I23" s="56"/>
      <c r="J23" s="56"/>
      <c r="K23" s="58"/>
      <c r="L23" s="61"/>
    </row>
    <row r="24" spans="1:12" ht="20.45" customHeight="1" x14ac:dyDescent="0.3">
      <c r="A24" s="91">
        <f t="shared" si="9"/>
        <v>7</v>
      </c>
      <c r="B24" s="56"/>
      <c r="C24" s="56"/>
      <c r="D24" s="56"/>
      <c r="E24" s="58"/>
      <c r="F24" s="58"/>
      <c r="G24" s="92">
        <f t="shared" si="10"/>
        <v>37</v>
      </c>
      <c r="H24" s="56"/>
      <c r="I24" s="56"/>
      <c r="J24" s="56"/>
      <c r="K24" s="58"/>
      <c r="L24" s="61"/>
    </row>
    <row r="25" spans="1:12" ht="20.45" customHeight="1" x14ac:dyDescent="0.3">
      <c r="A25" s="91">
        <f t="shared" si="9"/>
        <v>8</v>
      </c>
      <c r="B25" s="56"/>
      <c r="C25" s="56"/>
      <c r="D25" s="56"/>
      <c r="E25" s="58"/>
      <c r="F25" s="58"/>
      <c r="G25" s="92">
        <f t="shared" si="10"/>
        <v>38</v>
      </c>
      <c r="H25" s="56"/>
      <c r="I25" s="56"/>
      <c r="J25" s="56"/>
      <c r="K25" s="58"/>
      <c r="L25" s="61"/>
    </row>
    <row r="26" spans="1:12" ht="20.45" customHeight="1" x14ac:dyDescent="0.3">
      <c r="A26" s="91">
        <f t="shared" si="9"/>
        <v>9</v>
      </c>
      <c r="B26" s="56"/>
      <c r="C26" s="56"/>
      <c r="D26" s="56"/>
      <c r="E26" s="58"/>
      <c r="F26" s="58"/>
      <c r="G26" s="92">
        <f t="shared" si="10"/>
        <v>39</v>
      </c>
      <c r="H26" s="56"/>
      <c r="I26" s="56"/>
      <c r="J26" s="56"/>
      <c r="K26" s="58"/>
      <c r="L26" s="61"/>
    </row>
    <row r="27" spans="1:12" ht="20.45" customHeight="1" x14ac:dyDescent="0.3">
      <c r="A27" s="91">
        <f t="shared" si="9"/>
        <v>10</v>
      </c>
      <c r="B27" s="56"/>
      <c r="C27" s="56"/>
      <c r="D27" s="56"/>
      <c r="E27" s="58"/>
      <c r="F27" s="120"/>
      <c r="G27" s="92">
        <f t="shared" si="10"/>
        <v>40</v>
      </c>
      <c r="H27" s="56"/>
      <c r="I27" s="56"/>
      <c r="J27" s="56"/>
      <c r="K27" s="58"/>
      <c r="L27" s="61"/>
    </row>
    <row r="28" spans="1:12" ht="20.45" customHeight="1" x14ac:dyDescent="0.3">
      <c r="A28" s="91">
        <f t="shared" si="9"/>
        <v>11</v>
      </c>
      <c r="B28" s="56"/>
      <c r="C28" s="56"/>
      <c r="D28" s="56"/>
      <c r="E28" s="58"/>
      <c r="F28" s="120"/>
      <c r="G28" s="92">
        <f t="shared" si="10"/>
        <v>41</v>
      </c>
      <c r="H28" s="56"/>
      <c r="I28" s="56"/>
      <c r="J28" s="56"/>
      <c r="K28" s="58"/>
      <c r="L28" s="61"/>
    </row>
    <row r="29" spans="1:12" ht="20.45" customHeight="1" x14ac:dyDescent="0.3">
      <c r="A29" s="91">
        <f t="shared" si="9"/>
        <v>12</v>
      </c>
      <c r="B29" s="56"/>
      <c r="C29" s="56"/>
      <c r="D29" s="56"/>
      <c r="E29" s="119"/>
      <c r="F29" s="120"/>
      <c r="G29" s="92">
        <f t="shared" si="10"/>
        <v>42</v>
      </c>
      <c r="H29" s="56"/>
      <c r="I29" s="56"/>
      <c r="J29" s="56"/>
      <c r="K29" s="58"/>
      <c r="L29" s="61"/>
    </row>
    <row r="30" spans="1:12" ht="20.45" customHeight="1" x14ac:dyDescent="0.3">
      <c r="A30" s="91">
        <f t="shared" si="9"/>
        <v>13</v>
      </c>
      <c r="B30" s="59"/>
      <c r="C30" s="59"/>
      <c r="D30" s="59"/>
      <c r="E30" s="119"/>
      <c r="F30" s="120"/>
      <c r="G30" s="92">
        <f t="shared" si="10"/>
        <v>43</v>
      </c>
      <c r="H30" s="56"/>
      <c r="I30" s="56"/>
      <c r="J30" s="56"/>
      <c r="K30" s="58"/>
      <c r="L30" s="61"/>
    </row>
    <row r="31" spans="1:12" ht="20.45" customHeight="1" x14ac:dyDescent="0.3">
      <c r="A31" s="91">
        <f t="shared" si="9"/>
        <v>14</v>
      </c>
      <c r="B31" s="56"/>
      <c r="C31" s="56"/>
      <c r="D31" s="56"/>
      <c r="E31" s="58"/>
      <c r="F31" s="120"/>
      <c r="G31" s="92">
        <f t="shared" si="10"/>
        <v>44</v>
      </c>
      <c r="H31" s="56"/>
      <c r="I31" s="56"/>
      <c r="J31" s="56"/>
      <c r="K31" s="58"/>
      <c r="L31" s="61"/>
    </row>
    <row r="32" spans="1:12" ht="20.45" customHeight="1" x14ac:dyDescent="0.3">
      <c r="A32" s="91">
        <f>A31+1</f>
        <v>15</v>
      </c>
      <c r="B32" s="56"/>
      <c r="C32" s="56"/>
      <c r="D32" s="56"/>
      <c r="E32" s="58"/>
      <c r="F32" s="120"/>
      <c r="G32" s="92">
        <f t="shared" si="10"/>
        <v>45</v>
      </c>
      <c r="H32" s="56"/>
      <c r="I32" s="56"/>
      <c r="J32" s="56"/>
      <c r="K32" s="58"/>
      <c r="L32" s="61"/>
    </row>
    <row r="33" spans="1:12" ht="20.45" customHeight="1" x14ac:dyDescent="0.3">
      <c r="A33" s="91">
        <f t="shared" ref="A33:A47" si="11">A32+1</f>
        <v>16</v>
      </c>
      <c r="B33" s="56"/>
      <c r="C33" s="56"/>
      <c r="D33" s="56"/>
      <c r="E33" s="58"/>
      <c r="F33" s="58"/>
      <c r="G33" s="92">
        <f t="shared" si="10"/>
        <v>46</v>
      </c>
      <c r="H33" s="56"/>
      <c r="I33" s="56"/>
      <c r="J33" s="56"/>
      <c r="K33" s="58"/>
      <c r="L33" s="61"/>
    </row>
    <row r="34" spans="1:12" ht="20.45" customHeight="1" x14ac:dyDescent="0.3">
      <c r="A34" s="91">
        <f t="shared" si="11"/>
        <v>17</v>
      </c>
      <c r="B34" s="56"/>
      <c r="C34" s="56"/>
      <c r="D34" s="56"/>
      <c r="E34" s="58"/>
      <c r="F34" s="58"/>
      <c r="G34" s="92">
        <f t="shared" si="10"/>
        <v>47</v>
      </c>
      <c r="H34" s="56"/>
      <c r="I34" s="56"/>
      <c r="J34" s="56"/>
      <c r="K34" s="58"/>
      <c r="L34" s="61"/>
    </row>
    <row r="35" spans="1:12" ht="20.45" customHeight="1" x14ac:dyDescent="0.3">
      <c r="A35" s="91">
        <f t="shared" si="11"/>
        <v>18</v>
      </c>
      <c r="B35" s="56"/>
      <c r="C35" s="59"/>
      <c r="D35" s="56"/>
      <c r="E35" s="58"/>
      <c r="F35" s="58"/>
      <c r="G35" s="92">
        <f t="shared" si="10"/>
        <v>48</v>
      </c>
      <c r="H35" s="56"/>
      <c r="I35" s="56"/>
      <c r="J35" s="56"/>
      <c r="K35" s="58"/>
      <c r="L35" s="61"/>
    </row>
    <row r="36" spans="1:12" ht="20.45" customHeight="1" x14ac:dyDescent="0.3">
      <c r="A36" s="91">
        <f t="shared" si="11"/>
        <v>19</v>
      </c>
      <c r="B36" s="56"/>
      <c r="C36" s="56"/>
      <c r="D36" s="56"/>
      <c r="E36" s="58"/>
      <c r="F36" s="61"/>
      <c r="G36" s="92">
        <f t="shared" si="10"/>
        <v>49</v>
      </c>
      <c r="H36" s="56"/>
      <c r="I36" s="56"/>
      <c r="J36" s="56"/>
      <c r="K36" s="58"/>
      <c r="L36" s="61"/>
    </row>
    <row r="37" spans="1:12" ht="20.45" customHeight="1" x14ac:dyDescent="0.3">
      <c r="A37" s="91">
        <f t="shared" si="11"/>
        <v>20</v>
      </c>
      <c r="B37" s="56"/>
      <c r="C37" s="56"/>
      <c r="D37" s="56"/>
      <c r="E37" s="58"/>
      <c r="F37" s="61"/>
      <c r="G37" s="92">
        <f t="shared" si="10"/>
        <v>50</v>
      </c>
      <c r="H37" s="56"/>
      <c r="I37" s="56"/>
      <c r="J37" s="56"/>
      <c r="K37" s="58"/>
      <c r="L37" s="61"/>
    </row>
    <row r="38" spans="1:12" ht="20.45" customHeight="1" x14ac:dyDescent="0.3">
      <c r="A38" s="91">
        <f t="shared" si="11"/>
        <v>21</v>
      </c>
      <c r="B38" s="56"/>
      <c r="C38" s="56"/>
      <c r="D38" s="56"/>
      <c r="E38" s="58"/>
      <c r="F38" s="61"/>
      <c r="G38" s="92">
        <f t="shared" si="10"/>
        <v>51</v>
      </c>
      <c r="H38" s="56"/>
      <c r="I38" s="56"/>
      <c r="J38" s="56"/>
      <c r="K38" s="58"/>
      <c r="L38" s="61"/>
    </row>
    <row r="39" spans="1:12" ht="20.45" customHeight="1" x14ac:dyDescent="0.3">
      <c r="A39" s="91">
        <f t="shared" si="11"/>
        <v>22</v>
      </c>
      <c r="B39" s="59"/>
      <c r="C39" s="59"/>
      <c r="D39" s="59"/>
      <c r="E39" s="58"/>
      <c r="F39" s="125"/>
      <c r="G39" s="92">
        <f t="shared" si="10"/>
        <v>52</v>
      </c>
      <c r="H39" s="56"/>
      <c r="I39" s="56"/>
      <c r="J39" s="56"/>
      <c r="K39" s="58"/>
      <c r="L39" s="61"/>
    </row>
    <row r="40" spans="1:12" ht="20.45" customHeight="1" x14ac:dyDescent="0.3">
      <c r="A40" s="91">
        <f t="shared" si="11"/>
        <v>23</v>
      </c>
      <c r="B40" s="56"/>
      <c r="C40" s="56"/>
      <c r="D40" s="56"/>
      <c r="E40" s="58"/>
      <c r="F40" s="116"/>
      <c r="G40" s="92">
        <f t="shared" si="10"/>
        <v>53</v>
      </c>
      <c r="H40" s="56"/>
      <c r="I40" s="56"/>
      <c r="J40" s="56"/>
      <c r="K40" s="58"/>
      <c r="L40" s="61"/>
    </row>
    <row r="41" spans="1:12" ht="20.45" customHeight="1" x14ac:dyDescent="0.3">
      <c r="A41" s="91">
        <f t="shared" si="11"/>
        <v>24</v>
      </c>
      <c r="B41" s="56"/>
      <c r="C41" s="56"/>
      <c r="D41" s="56"/>
      <c r="E41" s="58"/>
      <c r="F41" s="116"/>
      <c r="G41" s="92">
        <f t="shared" si="10"/>
        <v>54</v>
      </c>
      <c r="H41" s="56"/>
      <c r="I41" s="56"/>
      <c r="J41" s="56"/>
      <c r="K41" s="58"/>
      <c r="L41" s="61"/>
    </row>
    <row r="42" spans="1:12" ht="20.45" customHeight="1" x14ac:dyDescent="0.3">
      <c r="A42" s="91">
        <f t="shared" si="11"/>
        <v>25</v>
      </c>
      <c r="B42" s="56"/>
      <c r="C42" s="56"/>
      <c r="D42" s="56"/>
      <c r="E42" s="58"/>
      <c r="F42" s="116"/>
      <c r="G42" s="92">
        <f t="shared" si="10"/>
        <v>55</v>
      </c>
      <c r="H42" s="56"/>
      <c r="I42" s="56"/>
      <c r="J42" s="56"/>
      <c r="K42" s="58"/>
      <c r="L42" s="61"/>
    </row>
    <row r="43" spans="1:12" ht="20.45" customHeight="1" x14ac:dyDescent="0.3">
      <c r="A43" s="91">
        <f t="shared" si="11"/>
        <v>26</v>
      </c>
      <c r="B43" s="56"/>
      <c r="C43" s="56"/>
      <c r="D43" s="56"/>
      <c r="E43" s="58"/>
      <c r="F43" s="116"/>
      <c r="G43" s="92">
        <f t="shared" si="10"/>
        <v>56</v>
      </c>
      <c r="H43" s="56"/>
      <c r="I43" s="56"/>
      <c r="J43" s="56"/>
      <c r="K43" s="58"/>
      <c r="L43" s="61"/>
    </row>
    <row r="44" spans="1:12" ht="20.45" customHeight="1" x14ac:dyDescent="0.3">
      <c r="A44" s="91">
        <f t="shared" si="11"/>
        <v>27</v>
      </c>
      <c r="B44" s="56"/>
      <c r="C44" s="56"/>
      <c r="D44" s="56"/>
      <c r="E44" s="58"/>
      <c r="F44" s="61"/>
      <c r="G44" s="92">
        <f t="shared" si="10"/>
        <v>57</v>
      </c>
      <c r="H44" s="56"/>
      <c r="I44" s="56"/>
      <c r="J44" s="56"/>
      <c r="K44" s="58"/>
      <c r="L44" s="61"/>
    </row>
    <row r="45" spans="1:12" ht="20.45" customHeight="1" x14ac:dyDescent="0.3">
      <c r="A45" s="91">
        <f t="shared" si="11"/>
        <v>28</v>
      </c>
      <c r="B45" s="56"/>
      <c r="C45" s="56"/>
      <c r="D45" s="56"/>
      <c r="E45" s="58"/>
      <c r="F45" s="61"/>
      <c r="G45" s="92">
        <f t="shared" si="10"/>
        <v>58</v>
      </c>
      <c r="H45" s="56"/>
      <c r="I45" s="56"/>
      <c r="J45" s="56"/>
      <c r="K45" s="58"/>
      <c r="L45" s="61"/>
    </row>
    <row r="46" spans="1:12" ht="20.45" customHeight="1" x14ac:dyDescent="0.3">
      <c r="A46" s="91">
        <f t="shared" si="11"/>
        <v>29</v>
      </c>
      <c r="B46" s="56"/>
      <c r="C46" s="56"/>
      <c r="D46" s="56"/>
      <c r="E46" s="58"/>
      <c r="F46" s="61"/>
      <c r="G46" s="92">
        <f t="shared" si="10"/>
        <v>59</v>
      </c>
      <c r="H46" s="56"/>
      <c r="I46" s="56"/>
      <c r="J46" s="56"/>
      <c r="K46" s="58"/>
      <c r="L46" s="61"/>
    </row>
    <row r="47" spans="1:12" ht="20.45" customHeight="1" x14ac:dyDescent="0.3">
      <c r="A47" s="111">
        <f t="shared" si="11"/>
        <v>30</v>
      </c>
      <c r="B47" s="112"/>
      <c r="C47" s="112"/>
      <c r="D47" s="112"/>
      <c r="E47" s="113"/>
      <c r="F47" s="113"/>
      <c r="G47" s="114">
        <f t="shared" si="10"/>
        <v>60</v>
      </c>
      <c r="H47" s="112"/>
      <c r="I47" s="112"/>
      <c r="J47" s="112"/>
      <c r="K47" s="113"/>
      <c r="L47" s="11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7:F33">
    <sortCondition ref="E27:E33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3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BB680-C4AE-49B1-8C9A-93896D346A7E}">
  <sheetPr codeName="Sheet14">
    <tabColor rgb="FFFFFFFF"/>
  </sheetPr>
  <dimension ref="A1:R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'261012'!C5:F5+1</f>
        <v>46308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'261012'!F8</f>
        <v>0</v>
      </c>
      <c r="F8" s="42">
        <f t="shared" ref="F8:F13" si="1">C8+E8</f>
        <v>0</v>
      </c>
      <c r="G8" s="7">
        <v>8</v>
      </c>
      <c r="H8" s="74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'261012'!L8</f>
        <v>0</v>
      </c>
      <c r="L8" s="42">
        <f t="shared" ref="L8:L14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'261012'!F9</f>
        <v>0</v>
      </c>
      <c r="F9" s="34">
        <f t="shared" si="1"/>
        <v>0</v>
      </c>
      <c r="G9" s="8">
        <f>G8+1</f>
        <v>9</v>
      </c>
      <c r="H9" s="80" t="str">
        <f>'261001'!H9</f>
        <v>수장</v>
      </c>
      <c r="I9" s="142">
        <f t="shared" si="2"/>
        <v>0</v>
      </c>
      <c r="J9" s="142"/>
      <c r="K9" s="34">
        <f>'261012'!L9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'261012'!F10</f>
        <v>0</v>
      </c>
      <c r="F10" s="34">
        <f t="shared" si="1"/>
        <v>0</v>
      </c>
      <c r="G10" s="8">
        <f t="shared" ref="G10:G14" si="5">G9+1</f>
        <v>10</v>
      </c>
      <c r="H10" s="80" t="str">
        <f>'261001'!H10</f>
        <v>걸레받이</v>
      </c>
      <c r="I10" s="142">
        <f t="shared" si="2"/>
        <v>0</v>
      </c>
      <c r="J10" s="142"/>
      <c r="K10" s="34">
        <f>'261012'!L10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'261012'!F11</f>
        <v>0</v>
      </c>
      <c r="F11" s="34">
        <f t="shared" si="1"/>
        <v>0</v>
      </c>
      <c r="G11" s="8">
        <f t="shared" si="5"/>
        <v>11</v>
      </c>
      <c r="H11" s="80" t="str">
        <f>'261001'!H11</f>
        <v>아트월</v>
      </c>
      <c r="I11" s="142">
        <f t="shared" si="2"/>
        <v>0</v>
      </c>
      <c r="J11" s="142"/>
      <c r="K11" s="34">
        <f>'261012'!L11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'261012'!F12</f>
        <v>0</v>
      </c>
      <c r="F12" s="34">
        <f t="shared" si="1"/>
        <v>0</v>
      </c>
      <c r="G12" s="8">
        <f t="shared" si="5"/>
        <v>12</v>
      </c>
      <c r="H12" s="80" t="str">
        <f>'261001'!H12</f>
        <v>큐비클</v>
      </c>
      <c r="I12" s="142">
        <f t="shared" si="2"/>
        <v>0</v>
      </c>
      <c r="J12" s="142"/>
      <c r="K12" s="34">
        <f>'261012'!L12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'261012'!F13</f>
        <v>0</v>
      </c>
      <c r="F13" s="34">
        <f t="shared" si="1"/>
        <v>0</v>
      </c>
      <c r="G13" s="8">
        <f t="shared" si="5"/>
        <v>13</v>
      </c>
      <c r="H13" s="80">
        <f>'261001'!H13</f>
        <v>0</v>
      </c>
      <c r="I13" s="142">
        <f t="shared" si="2"/>
        <v>0</v>
      </c>
      <c r="J13" s="142"/>
      <c r="K13" s="34">
        <f>'261012'!L13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'261012'!F14</f>
        <v>0</v>
      </c>
      <c r="F14" s="40">
        <f t="shared" ref="F14" si="6">C14+E14</f>
        <v>0</v>
      </c>
      <c r="G14" s="9">
        <f t="shared" si="5"/>
        <v>14</v>
      </c>
      <c r="H14" s="102">
        <f>'261001'!H14</f>
        <v>0</v>
      </c>
      <c r="I14" s="150">
        <f t="shared" si="2"/>
        <v>0</v>
      </c>
      <c r="J14" s="150"/>
      <c r="K14" s="40">
        <f>'261012'!L14</f>
        <v>0</v>
      </c>
      <c r="L14" s="40">
        <f t="shared" si="3"/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8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8" ht="20.45" customHeight="1" x14ac:dyDescent="0.3">
      <c r="A18" s="12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58"/>
    </row>
    <row r="19" spans="1:18" ht="20.45" customHeight="1" x14ac:dyDescent="0.3">
      <c r="A19" s="10">
        <f t="shared" ref="A19:A31" si="7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61"/>
    </row>
    <row r="20" spans="1:18" ht="20.45" customHeight="1" x14ac:dyDescent="0.3">
      <c r="A20" s="10">
        <f t="shared" si="7"/>
        <v>3</v>
      </c>
      <c r="B20" s="56"/>
      <c r="C20" s="56"/>
      <c r="D20" s="56"/>
      <c r="E20" s="58"/>
      <c r="F20" s="58"/>
      <c r="G20" s="92">
        <f t="shared" ref="G20:G47" si="8">G19+1</f>
        <v>33</v>
      </c>
      <c r="H20" s="56"/>
      <c r="I20" s="56"/>
      <c r="J20" s="56"/>
      <c r="K20" s="58"/>
      <c r="L20" s="61"/>
    </row>
    <row r="21" spans="1:18" ht="20.45" customHeight="1" x14ac:dyDescent="0.3">
      <c r="A21" s="10">
        <f t="shared" si="7"/>
        <v>4</v>
      </c>
      <c r="B21" s="56"/>
      <c r="C21" s="56"/>
      <c r="D21" s="56"/>
      <c r="E21" s="58"/>
      <c r="F21" s="58"/>
      <c r="G21" s="92">
        <f t="shared" si="8"/>
        <v>34</v>
      </c>
      <c r="H21" s="56"/>
      <c r="I21" s="56"/>
      <c r="J21" s="56"/>
      <c r="K21" s="58"/>
      <c r="L21" s="61"/>
    </row>
    <row r="22" spans="1:18" ht="20.45" customHeight="1" x14ac:dyDescent="0.3">
      <c r="A22" s="10">
        <f t="shared" si="7"/>
        <v>5</v>
      </c>
      <c r="B22" s="56"/>
      <c r="C22" s="56"/>
      <c r="D22" s="56"/>
      <c r="E22" s="58"/>
      <c r="F22" s="116"/>
      <c r="G22" s="92">
        <f t="shared" si="8"/>
        <v>35</v>
      </c>
      <c r="H22" s="56"/>
      <c r="I22" s="56"/>
      <c r="J22" s="56"/>
      <c r="K22" s="58"/>
      <c r="L22" s="61"/>
    </row>
    <row r="23" spans="1:18" ht="20.45" customHeight="1" x14ac:dyDescent="0.3">
      <c r="A23" s="10">
        <f t="shared" si="7"/>
        <v>6</v>
      </c>
      <c r="B23" s="56"/>
      <c r="C23" s="56"/>
      <c r="D23" s="56"/>
      <c r="E23" s="58"/>
      <c r="F23" s="116"/>
      <c r="G23" s="92">
        <f t="shared" si="8"/>
        <v>36</v>
      </c>
      <c r="H23" s="56"/>
      <c r="I23" s="56"/>
      <c r="J23" s="56"/>
      <c r="K23" s="58"/>
      <c r="L23" s="61"/>
    </row>
    <row r="24" spans="1:18" ht="20.45" customHeight="1" x14ac:dyDescent="0.3">
      <c r="A24" s="10">
        <f t="shared" si="7"/>
        <v>7</v>
      </c>
      <c r="B24" s="56"/>
      <c r="C24" s="56"/>
      <c r="D24" s="56"/>
      <c r="E24" s="58"/>
      <c r="F24" s="125"/>
      <c r="G24" s="92">
        <f t="shared" si="8"/>
        <v>37</v>
      </c>
      <c r="H24" s="56"/>
      <c r="I24" s="56"/>
      <c r="J24" s="56"/>
      <c r="K24" s="58"/>
      <c r="L24" s="61"/>
    </row>
    <row r="25" spans="1:18" ht="20.45" customHeight="1" x14ac:dyDescent="0.3">
      <c r="A25" s="10">
        <f t="shared" si="7"/>
        <v>8</v>
      </c>
      <c r="B25" s="56"/>
      <c r="C25" s="56"/>
      <c r="D25" s="56"/>
      <c r="E25" s="58"/>
      <c r="F25" s="125"/>
      <c r="G25" s="92">
        <f t="shared" si="8"/>
        <v>38</v>
      </c>
      <c r="H25" s="56"/>
      <c r="I25" s="56"/>
      <c r="J25" s="56"/>
      <c r="K25" s="58"/>
      <c r="L25" s="61"/>
    </row>
    <row r="26" spans="1:18" ht="20.45" customHeight="1" x14ac:dyDescent="0.3">
      <c r="A26" s="10">
        <f t="shared" si="7"/>
        <v>9</v>
      </c>
      <c r="B26" s="56"/>
      <c r="C26" s="56"/>
      <c r="D26" s="56"/>
      <c r="E26" s="58"/>
      <c r="F26" s="120"/>
      <c r="G26" s="92">
        <f t="shared" si="8"/>
        <v>39</v>
      </c>
      <c r="H26" s="56"/>
      <c r="I26" s="56"/>
      <c r="J26" s="56"/>
      <c r="K26" s="58"/>
      <c r="L26" s="61"/>
      <c r="R26" s="1">
        <v>2</v>
      </c>
    </row>
    <row r="27" spans="1:18" ht="20.45" customHeight="1" x14ac:dyDescent="0.3">
      <c r="A27" s="10">
        <f t="shared" si="7"/>
        <v>10</v>
      </c>
      <c r="B27" s="56"/>
      <c r="C27" s="56"/>
      <c r="D27" s="56"/>
      <c r="E27" s="58"/>
      <c r="F27" s="120"/>
      <c r="G27" s="92">
        <f t="shared" si="8"/>
        <v>40</v>
      </c>
      <c r="H27" s="56"/>
      <c r="I27" s="56"/>
      <c r="J27" s="56"/>
      <c r="K27" s="58"/>
      <c r="L27" s="61"/>
      <c r="R27" s="1">
        <v>7</v>
      </c>
    </row>
    <row r="28" spans="1:18" ht="20.45" customHeight="1" x14ac:dyDescent="0.3">
      <c r="A28" s="10">
        <f t="shared" si="7"/>
        <v>11</v>
      </c>
      <c r="B28" s="56"/>
      <c r="C28" s="56"/>
      <c r="D28" s="56"/>
      <c r="E28" s="58"/>
      <c r="F28" s="120"/>
      <c r="G28" s="92">
        <f t="shared" si="8"/>
        <v>41</v>
      </c>
      <c r="H28" s="56"/>
      <c r="I28" s="56"/>
      <c r="J28" s="56"/>
      <c r="K28" s="58"/>
      <c r="L28" s="61"/>
      <c r="R28" s="1">
        <v>3</v>
      </c>
    </row>
    <row r="29" spans="1:18" ht="20.45" customHeight="1" x14ac:dyDescent="0.3">
      <c r="A29" s="10">
        <f t="shared" si="7"/>
        <v>12</v>
      </c>
      <c r="B29" s="56"/>
      <c r="C29" s="56"/>
      <c r="D29" s="56"/>
      <c r="E29" s="58"/>
      <c r="F29" s="120"/>
      <c r="G29" s="92">
        <f t="shared" si="8"/>
        <v>42</v>
      </c>
      <c r="H29" s="56"/>
      <c r="I29" s="56"/>
      <c r="J29" s="56"/>
      <c r="K29" s="58"/>
      <c r="L29" s="61"/>
      <c r="R29" s="1">
        <v>2</v>
      </c>
    </row>
    <row r="30" spans="1:18" ht="20.45" customHeight="1" x14ac:dyDescent="0.3">
      <c r="A30" s="10">
        <f t="shared" si="7"/>
        <v>13</v>
      </c>
      <c r="B30" s="56"/>
      <c r="C30" s="56"/>
      <c r="D30" s="56"/>
      <c r="E30" s="58"/>
      <c r="F30" s="120"/>
      <c r="G30" s="92">
        <f t="shared" si="8"/>
        <v>43</v>
      </c>
      <c r="H30" s="56"/>
      <c r="I30" s="56"/>
      <c r="J30" s="56"/>
      <c r="K30" s="58"/>
      <c r="L30" s="61"/>
      <c r="R30" s="1">
        <v>24</v>
      </c>
    </row>
    <row r="31" spans="1:18" ht="20.45" customHeight="1" x14ac:dyDescent="0.3">
      <c r="A31" s="10">
        <f t="shared" si="7"/>
        <v>14</v>
      </c>
      <c r="B31" s="56"/>
      <c r="C31" s="56"/>
      <c r="D31" s="56"/>
      <c r="E31" s="58"/>
      <c r="F31" s="116"/>
      <c r="G31" s="92">
        <f t="shared" si="8"/>
        <v>44</v>
      </c>
      <c r="H31" s="56"/>
      <c r="I31" s="56"/>
      <c r="J31" s="56"/>
      <c r="K31" s="58"/>
      <c r="L31" s="61"/>
      <c r="R31" s="1">
        <v>5</v>
      </c>
    </row>
    <row r="32" spans="1:18" ht="20.45" customHeight="1" x14ac:dyDescent="0.3">
      <c r="A32" s="10">
        <f>A31+1</f>
        <v>15</v>
      </c>
      <c r="B32" s="56"/>
      <c r="C32" s="56"/>
      <c r="D32" s="56"/>
      <c r="E32" s="58"/>
      <c r="F32" s="116"/>
      <c r="G32" s="92">
        <f t="shared" si="8"/>
        <v>45</v>
      </c>
      <c r="H32" s="56"/>
      <c r="I32" s="56"/>
      <c r="J32" s="56"/>
      <c r="K32" s="58"/>
      <c r="L32" s="61"/>
      <c r="R32" s="1">
        <v>7</v>
      </c>
    </row>
    <row r="33" spans="1:18" ht="20.45" customHeight="1" x14ac:dyDescent="0.3">
      <c r="A33" s="10">
        <f t="shared" ref="A33:A47" si="9">A32+1</f>
        <v>16</v>
      </c>
      <c r="B33" s="56"/>
      <c r="C33" s="56"/>
      <c r="D33" s="56"/>
      <c r="E33" s="58"/>
      <c r="F33" s="61"/>
      <c r="G33" s="92">
        <f t="shared" si="8"/>
        <v>46</v>
      </c>
      <c r="H33" s="56"/>
      <c r="I33" s="56"/>
      <c r="J33" s="56"/>
      <c r="K33" s="58"/>
      <c r="L33" s="61"/>
      <c r="R33" s="1">
        <f>SUM(R26:R32)</f>
        <v>50</v>
      </c>
    </row>
    <row r="34" spans="1:18" ht="20.45" customHeight="1" x14ac:dyDescent="0.3">
      <c r="A34" s="10">
        <f t="shared" si="9"/>
        <v>17</v>
      </c>
      <c r="B34" s="59"/>
      <c r="C34" s="59"/>
      <c r="D34" s="59"/>
      <c r="E34" s="58"/>
      <c r="F34" s="125"/>
      <c r="G34" s="92">
        <f t="shared" si="8"/>
        <v>47</v>
      </c>
      <c r="H34" s="56"/>
      <c r="I34" s="56"/>
      <c r="J34" s="56"/>
      <c r="K34" s="58"/>
      <c r="L34" s="61"/>
    </row>
    <row r="35" spans="1:18" ht="20.45" customHeight="1" x14ac:dyDescent="0.3">
      <c r="A35" s="10">
        <f t="shared" si="9"/>
        <v>18</v>
      </c>
      <c r="B35" s="56"/>
      <c r="C35" s="56"/>
      <c r="D35" s="56"/>
      <c r="E35" s="58"/>
      <c r="F35" s="116"/>
      <c r="G35" s="92">
        <f t="shared" si="8"/>
        <v>48</v>
      </c>
      <c r="H35" s="56"/>
      <c r="I35" s="56"/>
      <c r="J35" s="56"/>
      <c r="K35" s="58"/>
      <c r="L35" s="61"/>
    </row>
    <row r="36" spans="1:18" ht="20.45" customHeight="1" x14ac:dyDescent="0.3">
      <c r="A36" s="10">
        <f t="shared" si="9"/>
        <v>19</v>
      </c>
      <c r="B36" s="56"/>
      <c r="C36" s="56"/>
      <c r="D36" s="56"/>
      <c r="E36" s="58"/>
      <c r="F36" s="116"/>
      <c r="G36" s="92">
        <f t="shared" si="8"/>
        <v>49</v>
      </c>
      <c r="H36" s="56"/>
      <c r="I36" s="56"/>
      <c r="J36" s="56"/>
      <c r="K36" s="58"/>
      <c r="L36" s="61"/>
    </row>
    <row r="37" spans="1:18" ht="20.45" customHeight="1" x14ac:dyDescent="0.3">
      <c r="A37" s="10">
        <f t="shared" si="9"/>
        <v>20</v>
      </c>
      <c r="B37" s="56"/>
      <c r="C37" s="56"/>
      <c r="D37" s="56"/>
      <c r="E37" s="58"/>
      <c r="F37" s="61"/>
      <c r="G37" s="92">
        <f t="shared" si="8"/>
        <v>50</v>
      </c>
      <c r="H37" s="56"/>
      <c r="I37" s="56"/>
      <c r="J37" s="56"/>
      <c r="K37" s="58"/>
      <c r="L37" s="61"/>
    </row>
    <row r="38" spans="1:18" ht="20.45" customHeight="1" x14ac:dyDescent="0.3">
      <c r="A38" s="10">
        <f t="shared" si="9"/>
        <v>21</v>
      </c>
      <c r="B38" s="56"/>
      <c r="C38" s="56"/>
      <c r="D38" s="56"/>
      <c r="E38" s="58"/>
      <c r="F38" s="61"/>
      <c r="G38" s="92">
        <f t="shared" si="8"/>
        <v>51</v>
      </c>
      <c r="H38" s="56"/>
      <c r="I38" s="56"/>
      <c r="J38" s="56"/>
      <c r="K38" s="58"/>
      <c r="L38" s="61"/>
    </row>
    <row r="39" spans="1:18" ht="20.45" customHeight="1" x14ac:dyDescent="0.3">
      <c r="A39" s="10">
        <f t="shared" si="9"/>
        <v>22</v>
      </c>
      <c r="B39" s="56"/>
      <c r="C39" s="56"/>
      <c r="D39" s="56"/>
      <c r="E39" s="58"/>
      <c r="F39" s="61"/>
      <c r="G39" s="92">
        <f t="shared" si="8"/>
        <v>52</v>
      </c>
      <c r="H39" s="56"/>
      <c r="I39" s="56"/>
      <c r="J39" s="56"/>
      <c r="K39" s="58"/>
      <c r="L39" s="61"/>
    </row>
    <row r="40" spans="1:18" ht="20.45" customHeight="1" x14ac:dyDescent="0.3">
      <c r="A40" s="10">
        <f t="shared" si="9"/>
        <v>23</v>
      </c>
      <c r="B40" s="56"/>
      <c r="C40" s="56"/>
      <c r="D40" s="56"/>
      <c r="E40" s="58"/>
      <c r="F40" s="61"/>
      <c r="G40" s="92">
        <f t="shared" si="8"/>
        <v>53</v>
      </c>
      <c r="H40" s="56"/>
      <c r="I40" s="56"/>
      <c r="J40" s="56"/>
      <c r="K40" s="58"/>
      <c r="L40" s="61"/>
    </row>
    <row r="41" spans="1:18" ht="20.45" customHeight="1" x14ac:dyDescent="0.3">
      <c r="A41" s="10">
        <f t="shared" si="9"/>
        <v>24</v>
      </c>
      <c r="B41" s="56"/>
      <c r="C41" s="56"/>
      <c r="D41" s="56"/>
      <c r="E41" s="58"/>
      <c r="F41" s="61"/>
      <c r="G41" s="92">
        <f t="shared" si="8"/>
        <v>54</v>
      </c>
      <c r="H41" s="56"/>
      <c r="I41" s="56"/>
      <c r="J41" s="56"/>
      <c r="K41" s="58"/>
      <c r="L41" s="61"/>
    </row>
    <row r="42" spans="1:18" ht="20.45" customHeight="1" x14ac:dyDescent="0.3">
      <c r="A42" s="10">
        <f t="shared" si="9"/>
        <v>25</v>
      </c>
      <c r="B42" s="56"/>
      <c r="C42" s="56"/>
      <c r="D42" s="56"/>
      <c r="E42" s="58"/>
      <c r="F42" s="116"/>
      <c r="G42" s="92">
        <f t="shared" si="8"/>
        <v>55</v>
      </c>
      <c r="H42" s="56"/>
      <c r="I42" s="56"/>
      <c r="J42" s="56"/>
      <c r="K42" s="58"/>
      <c r="L42" s="61"/>
    </row>
    <row r="43" spans="1:18" ht="20.45" customHeight="1" x14ac:dyDescent="0.3">
      <c r="A43" s="10">
        <f t="shared" si="9"/>
        <v>26</v>
      </c>
      <c r="B43" s="56"/>
      <c r="C43" s="56"/>
      <c r="D43" s="56"/>
      <c r="E43" s="58"/>
      <c r="F43" s="58"/>
      <c r="G43" s="92">
        <f t="shared" si="8"/>
        <v>56</v>
      </c>
      <c r="H43" s="56"/>
      <c r="I43" s="56"/>
      <c r="J43" s="56"/>
      <c r="K43" s="58"/>
      <c r="L43" s="61"/>
    </row>
    <row r="44" spans="1:18" ht="20.45" customHeight="1" x14ac:dyDescent="0.3">
      <c r="A44" s="10">
        <f t="shared" si="9"/>
        <v>27</v>
      </c>
      <c r="B44" s="56"/>
      <c r="C44" s="56"/>
      <c r="D44" s="56"/>
      <c r="E44" s="58"/>
      <c r="F44" s="61"/>
      <c r="G44" s="92">
        <f t="shared" si="8"/>
        <v>57</v>
      </c>
      <c r="H44" s="56"/>
      <c r="I44" s="56"/>
      <c r="J44" s="56"/>
      <c r="K44" s="58"/>
      <c r="L44" s="61"/>
    </row>
    <row r="45" spans="1:18" ht="20.45" customHeight="1" x14ac:dyDescent="0.3">
      <c r="A45" s="10">
        <f t="shared" si="9"/>
        <v>28</v>
      </c>
      <c r="B45" s="56"/>
      <c r="C45" s="56"/>
      <c r="D45" s="56"/>
      <c r="E45" s="58"/>
      <c r="F45" s="61"/>
      <c r="G45" s="92">
        <f t="shared" si="8"/>
        <v>58</v>
      </c>
      <c r="H45" s="56"/>
      <c r="I45" s="56"/>
      <c r="J45" s="56"/>
      <c r="K45" s="58"/>
      <c r="L45" s="61"/>
    </row>
    <row r="46" spans="1:18" ht="20.45" customHeight="1" x14ac:dyDescent="0.3">
      <c r="A46" s="10">
        <f t="shared" si="9"/>
        <v>29</v>
      </c>
      <c r="B46" s="56"/>
      <c r="C46" s="56"/>
      <c r="D46" s="56"/>
      <c r="E46" s="58"/>
      <c r="F46" s="116"/>
      <c r="G46" s="92">
        <f t="shared" si="8"/>
        <v>59</v>
      </c>
      <c r="H46" s="56"/>
      <c r="I46" s="56"/>
      <c r="J46" s="56"/>
      <c r="K46" s="58"/>
      <c r="L46" s="61"/>
    </row>
    <row r="47" spans="1:18" ht="20.45" customHeight="1" x14ac:dyDescent="0.3">
      <c r="A47" s="117">
        <f t="shared" si="9"/>
        <v>30</v>
      </c>
      <c r="B47" s="56"/>
      <c r="C47" s="56"/>
      <c r="D47" s="56"/>
      <c r="E47" s="58"/>
      <c r="F47" s="58"/>
      <c r="G47" s="114">
        <f t="shared" si="8"/>
        <v>60</v>
      </c>
      <c r="H47" s="112"/>
      <c r="I47" s="112"/>
      <c r="J47" s="112"/>
      <c r="K47" s="113"/>
      <c r="L47" s="115"/>
    </row>
    <row r="48" spans="1:18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H18:L23">
    <sortCondition ref="K18:K23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3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E1D8D-09D6-4388-882C-F7ACB58C8D80}">
  <sheetPr codeName="Sheet15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'261013'!C5:F5+1</f>
        <v>46309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'261013'!F8</f>
        <v>0</v>
      </c>
      <c r="F8" s="42">
        <f t="shared" ref="F8:F13" si="1">C8+E8</f>
        <v>0</v>
      </c>
      <c r="G8" s="7">
        <v>7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'261013'!L8</f>
        <v>0</v>
      </c>
      <c r="L8" s="42">
        <f t="shared" ref="L8:L14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'261013'!F9</f>
        <v>0</v>
      </c>
      <c r="F9" s="34">
        <f t="shared" si="1"/>
        <v>0</v>
      </c>
      <c r="G9" s="8">
        <v>8</v>
      </c>
      <c r="H9" s="32" t="str">
        <f>'261001'!H9</f>
        <v>수장</v>
      </c>
      <c r="I9" s="142">
        <f t="shared" si="2"/>
        <v>0</v>
      </c>
      <c r="J9" s="142"/>
      <c r="K9" s="34">
        <f>'261013'!L9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'261013'!F10</f>
        <v>0</v>
      </c>
      <c r="F10" s="34">
        <f t="shared" si="1"/>
        <v>0</v>
      </c>
      <c r="G10" s="8">
        <v>9</v>
      </c>
      <c r="H10" s="32" t="str">
        <f>'261001'!H10</f>
        <v>걸레받이</v>
      </c>
      <c r="I10" s="142">
        <f t="shared" si="2"/>
        <v>0</v>
      </c>
      <c r="J10" s="142"/>
      <c r="K10" s="34">
        <f>'261013'!L10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'261013'!F11</f>
        <v>0</v>
      </c>
      <c r="F11" s="34">
        <f t="shared" si="1"/>
        <v>0</v>
      </c>
      <c r="G11" s="8">
        <f>G10+1</f>
        <v>10</v>
      </c>
      <c r="H11" s="32" t="str">
        <f>'261001'!H11</f>
        <v>아트월</v>
      </c>
      <c r="I11" s="142">
        <f t="shared" si="2"/>
        <v>0</v>
      </c>
      <c r="J11" s="142"/>
      <c r="K11" s="34">
        <f>'261013'!L11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'261013'!F12</f>
        <v>0</v>
      </c>
      <c r="F12" s="34">
        <f t="shared" si="1"/>
        <v>0</v>
      </c>
      <c r="G12" s="8">
        <f>G11+1</f>
        <v>11</v>
      </c>
      <c r="H12" s="32" t="str">
        <f>'261001'!H12</f>
        <v>큐비클</v>
      </c>
      <c r="I12" s="142">
        <f t="shared" si="2"/>
        <v>0</v>
      </c>
      <c r="J12" s="142"/>
      <c r="K12" s="34">
        <f>'261013'!L12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'261013'!F13</f>
        <v>0</v>
      </c>
      <c r="F13" s="34">
        <f t="shared" si="1"/>
        <v>0</v>
      </c>
      <c r="G13" s="8">
        <f>G12+1</f>
        <v>12</v>
      </c>
      <c r="H13" s="32">
        <f>'261001'!H13</f>
        <v>0</v>
      </c>
      <c r="I13" s="142">
        <f t="shared" si="2"/>
        <v>0</v>
      </c>
      <c r="J13" s="142"/>
      <c r="K13" s="34">
        <f>'261013'!L13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'261013'!F14</f>
        <v>0</v>
      </c>
      <c r="F14" s="40">
        <f t="shared" ref="F14" si="5">C14+E14</f>
        <v>0</v>
      </c>
      <c r="G14" s="9">
        <f>G13+1</f>
        <v>13</v>
      </c>
      <c r="H14" s="33">
        <f>'261001'!H14</f>
        <v>0</v>
      </c>
      <c r="I14" s="150">
        <f t="shared" si="2"/>
        <v>0</v>
      </c>
      <c r="J14" s="150"/>
      <c r="K14" s="40">
        <f>'261013'!L14</f>
        <v>0</v>
      </c>
      <c r="L14" s="40">
        <f t="shared" si="3"/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6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6"/>
        <v>3</v>
      </c>
      <c r="B20" s="56"/>
      <c r="C20" s="56"/>
      <c r="D20" s="56"/>
      <c r="E20" s="58"/>
      <c r="F20" s="125"/>
      <c r="G20" s="11">
        <f t="shared" ref="G20:G47" si="7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6"/>
        <v>4</v>
      </c>
      <c r="B21" s="56"/>
      <c r="C21" s="56"/>
      <c r="D21" s="56"/>
      <c r="E21" s="58"/>
      <c r="F21" s="58"/>
      <c r="G21" s="11">
        <f t="shared" si="7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6"/>
        <v>5</v>
      </c>
      <c r="B22" s="56"/>
      <c r="C22" s="56"/>
      <c r="D22" s="56"/>
      <c r="E22" s="58"/>
      <c r="F22" s="58"/>
      <c r="G22" s="11">
        <f t="shared" si="7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6"/>
        <v>6</v>
      </c>
      <c r="B23" s="56"/>
      <c r="C23" s="56"/>
      <c r="D23" s="56"/>
      <c r="E23" s="58"/>
      <c r="F23" s="58"/>
      <c r="G23" s="11">
        <f t="shared" si="7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6"/>
        <v>7</v>
      </c>
      <c r="B24" s="56"/>
      <c r="C24" s="56"/>
      <c r="D24" s="56"/>
      <c r="E24" s="58"/>
      <c r="F24" s="58"/>
      <c r="G24" s="11">
        <f t="shared" si="7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6"/>
        <v>8</v>
      </c>
      <c r="B25" s="56"/>
      <c r="C25" s="56"/>
      <c r="D25" s="56"/>
      <c r="E25" s="58"/>
      <c r="F25" s="58"/>
      <c r="G25" s="11">
        <f t="shared" si="7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6"/>
        <v>9</v>
      </c>
      <c r="B26" s="56"/>
      <c r="C26" s="56"/>
      <c r="D26" s="56"/>
      <c r="E26" s="58"/>
      <c r="F26" s="58"/>
      <c r="G26" s="11">
        <f t="shared" si="7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6"/>
        <v>10</v>
      </c>
      <c r="B27" s="59"/>
      <c r="C27" s="59"/>
      <c r="D27" s="59"/>
      <c r="E27" s="119"/>
      <c r="F27" s="120"/>
      <c r="G27" s="11">
        <f t="shared" si="7"/>
        <v>40</v>
      </c>
      <c r="H27" s="56"/>
      <c r="I27" s="56"/>
      <c r="J27" s="56"/>
      <c r="K27" s="58"/>
      <c r="L27" s="58"/>
    </row>
    <row r="28" spans="1:12" ht="20.45" customHeight="1" x14ac:dyDescent="0.3">
      <c r="A28" s="10">
        <f t="shared" si="6"/>
        <v>11</v>
      </c>
      <c r="B28" s="56"/>
      <c r="C28" s="56"/>
      <c r="D28" s="56"/>
      <c r="E28" s="119"/>
      <c r="F28" s="120"/>
      <c r="G28" s="11">
        <f t="shared" si="7"/>
        <v>41</v>
      </c>
      <c r="H28" s="56"/>
      <c r="I28" s="56"/>
      <c r="J28" s="56"/>
      <c r="K28" s="58"/>
      <c r="L28" s="58"/>
    </row>
    <row r="29" spans="1:12" ht="20.45" customHeight="1" x14ac:dyDescent="0.3">
      <c r="A29" s="10">
        <f t="shared" si="6"/>
        <v>12</v>
      </c>
      <c r="B29" s="56"/>
      <c r="C29" s="56"/>
      <c r="D29" s="56"/>
      <c r="E29" s="58"/>
      <c r="F29" s="120"/>
      <c r="G29" s="11">
        <f t="shared" si="7"/>
        <v>42</v>
      </c>
      <c r="H29" s="56"/>
      <c r="I29" s="56"/>
      <c r="J29" s="56"/>
      <c r="K29" s="58"/>
      <c r="L29" s="58"/>
    </row>
    <row r="30" spans="1:12" ht="20.45" customHeight="1" x14ac:dyDescent="0.3">
      <c r="A30" s="10">
        <f t="shared" si="6"/>
        <v>13</v>
      </c>
      <c r="B30" s="56"/>
      <c r="C30" s="56"/>
      <c r="D30" s="56"/>
      <c r="E30" s="58"/>
      <c r="F30" s="120"/>
      <c r="G30" s="11">
        <f t="shared" si="7"/>
        <v>43</v>
      </c>
      <c r="H30" s="56"/>
      <c r="I30" s="56"/>
      <c r="J30" s="56"/>
      <c r="K30" s="58"/>
      <c r="L30" s="58"/>
    </row>
    <row r="31" spans="1:12" ht="20.45" customHeight="1" x14ac:dyDescent="0.3">
      <c r="A31" s="10">
        <f t="shared" si="6"/>
        <v>14</v>
      </c>
      <c r="B31" s="56"/>
      <c r="C31" s="56"/>
      <c r="D31" s="56"/>
      <c r="E31" s="58"/>
      <c r="F31" s="116"/>
      <c r="G31" s="11">
        <f t="shared" si="7"/>
        <v>44</v>
      </c>
      <c r="H31" s="56"/>
      <c r="I31" s="56"/>
      <c r="J31" s="56"/>
      <c r="K31" s="58"/>
      <c r="L31" s="58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116"/>
      <c r="G32" s="11">
        <f t="shared" si="7"/>
        <v>45</v>
      </c>
      <c r="H32" s="56"/>
      <c r="I32" s="56"/>
      <c r="J32" s="56"/>
      <c r="K32" s="58"/>
      <c r="L32" s="58"/>
    </row>
    <row r="33" spans="1:12" ht="20.45" customHeight="1" x14ac:dyDescent="0.3">
      <c r="A33" s="10">
        <f t="shared" ref="A33:A47" si="8">A32+1</f>
        <v>16</v>
      </c>
      <c r="B33" s="56"/>
      <c r="C33" s="56"/>
      <c r="D33" s="56"/>
      <c r="E33" s="58"/>
      <c r="F33" s="61"/>
      <c r="G33" s="11">
        <f t="shared" si="7"/>
        <v>46</v>
      </c>
      <c r="H33" s="56"/>
      <c r="I33" s="56"/>
      <c r="J33" s="56"/>
      <c r="K33" s="58"/>
      <c r="L33" s="58"/>
    </row>
    <row r="34" spans="1:12" ht="20.45" customHeight="1" x14ac:dyDescent="0.3">
      <c r="A34" s="10">
        <f t="shared" si="8"/>
        <v>17</v>
      </c>
      <c r="B34" s="59"/>
      <c r="C34" s="59"/>
      <c r="D34" s="59"/>
      <c r="E34" s="58"/>
      <c r="F34" s="125"/>
      <c r="G34" s="11">
        <f t="shared" si="7"/>
        <v>47</v>
      </c>
      <c r="H34" s="56"/>
      <c r="I34" s="56"/>
      <c r="J34" s="56"/>
      <c r="K34" s="58"/>
      <c r="L34" s="58"/>
    </row>
    <row r="35" spans="1:12" ht="20.45" customHeight="1" x14ac:dyDescent="0.3">
      <c r="A35" s="10">
        <f t="shared" si="8"/>
        <v>18</v>
      </c>
      <c r="B35" s="56"/>
      <c r="C35" s="56"/>
      <c r="D35" s="56"/>
      <c r="E35" s="58"/>
      <c r="F35" s="61"/>
      <c r="G35" s="11">
        <f t="shared" si="7"/>
        <v>48</v>
      </c>
      <c r="H35" s="56"/>
      <c r="I35" s="56"/>
      <c r="J35" s="56"/>
      <c r="K35" s="58"/>
      <c r="L35" s="116"/>
    </row>
    <row r="36" spans="1:12" ht="20.45" customHeight="1" x14ac:dyDescent="0.3">
      <c r="A36" s="10">
        <f t="shared" si="8"/>
        <v>19</v>
      </c>
      <c r="B36" s="56"/>
      <c r="C36" s="56"/>
      <c r="D36" s="56"/>
      <c r="E36" s="58"/>
      <c r="F36" s="61"/>
      <c r="G36" s="11">
        <f t="shared" si="7"/>
        <v>49</v>
      </c>
      <c r="H36" s="56"/>
      <c r="I36" s="56"/>
      <c r="J36" s="56"/>
      <c r="K36" s="58"/>
      <c r="L36" s="116"/>
    </row>
    <row r="37" spans="1:12" ht="20.45" customHeight="1" x14ac:dyDescent="0.3">
      <c r="A37" s="10">
        <f t="shared" si="8"/>
        <v>20</v>
      </c>
      <c r="B37" s="56"/>
      <c r="C37" s="56"/>
      <c r="D37" s="56"/>
      <c r="E37" s="58"/>
      <c r="F37" s="61"/>
      <c r="G37" s="11">
        <f t="shared" si="7"/>
        <v>50</v>
      </c>
      <c r="H37" s="59"/>
      <c r="I37" s="59"/>
      <c r="J37" s="59"/>
      <c r="K37" s="119"/>
      <c r="L37" s="120"/>
    </row>
    <row r="38" spans="1:12" ht="20.45" customHeight="1" x14ac:dyDescent="0.3">
      <c r="A38" s="10">
        <f t="shared" si="8"/>
        <v>21</v>
      </c>
      <c r="B38" s="56"/>
      <c r="C38" s="56"/>
      <c r="D38" s="56"/>
      <c r="E38" s="58"/>
      <c r="F38" s="61"/>
      <c r="G38" s="11">
        <f t="shared" si="7"/>
        <v>51</v>
      </c>
      <c r="H38" s="56"/>
      <c r="I38" s="56"/>
      <c r="J38" s="56"/>
      <c r="K38" s="58"/>
      <c r="L38" s="116"/>
    </row>
    <row r="39" spans="1:12" ht="20.45" customHeight="1" x14ac:dyDescent="0.3">
      <c r="A39" s="10">
        <f t="shared" si="8"/>
        <v>22</v>
      </c>
      <c r="B39" s="56"/>
      <c r="C39" s="56"/>
      <c r="D39" s="56"/>
      <c r="E39" s="58"/>
      <c r="F39" s="116"/>
      <c r="G39" s="11">
        <f t="shared" si="7"/>
        <v>52</v>
      </c>
      <c r="H39" s="56"/>
      <c r="I39" s="56"/>
      <c r="J39" s="56"/>
      <c r="K39" s="58"/>
      <c r="L39" s="116"/>
    </row>
    <row r="40" spans="1:12" ht="20.45" customHeight="1" x14ac:dyDescent="0.3">
      <c r="A40" s="10">
        <f t="shared" si="8"/>
        <v>23</v>
      </c>
      <c r="B40" s="56"/>
      <c r="C40" s="56"/>
      <c r="D40" s="56"/>
      <c r="E40" s="58"/>
      <c r="F40" s="58"/>
      <c r="G40" s="11">
        <f t="shared" si="7"/>
        <v>53</v>
      </c>
      <c r="H40" s="56"/>
      <c r="I40" s="56"/>
      <c r="J40" s="56"/>
      <c r="K40" s="58"/>
      <c r="L40" s="116"/>
    </row>
    <row r="41" spans="1:12" ht="20.45" customHeight="1" x14ac:dyDescent="0.3">
      <c r="A41" s="10">
        <f t="shared" si="8"/>
        <v>24</v>
      </c>
      <c r="B41" s="56"/>
      <c r="C41" s="56"/>
      <c r="D41" s="56"/>
      <c r="E41" s="58"/>
      <c r="F41" s="58"/>
      <c r="G41" s="11">
        <f t="shared" si="7"/>
        <v>54</v>
      </c>
      <c r="H41" s="56"/>
      <c r="I41" s="56"/>
      <c r="J41" s="56"/>
      <c r="K41" s="58"/>
      <c r="L41" s="61"/>
    </row>
    <row r="42" spans="1:12" ht="20.45" customHeight="1" x14ac:dyDescent="0.3">
      <c r="A42" s="10">
        <f t="shared" si="8"/>
        <v>25</v>
      </c>
      <c r="B42" s="56"/>
      <c r="C42" s="56"/>
      <c r="D42" s="56"/>
      <c r="E42" s="58"/>
      <c r="F42" s="116"/>
      <c r="G42" s="11">
        <f t="shared" si="7"/>
        <v>55</v>
      </c>
      <c r="H42" s="56"/>
      <c r="I42" s="56"/>
      <c r="J42" s="56"/>
      <c r="K42" s="58"/>
      <c r="L42" s="58"/>
    </row>
    <row r="43" spans="1:12" ht="20.45" customHeight="1" x14ac:dyDescent="0.3">
      <c r="A43" s="10">
        <f t="shared" si="8"/>
        <v>26</v>
      </c>
      <c r="B43" s="56"/>
      <c r="C43" s="56"/>
      <c r="D43" s="56"/>
      <c r="E43" s="58"/>
      <c r="F43" s="116"/>
      <c r="G43" s="11">
        <f t="shared" si="7"/>
        <v>56</v>
      </c>
      <c r="H43" s="56"/>
      <c r="I43" s="56"/>
      <c r="J43" s="56"/>
      <c r="K43" s="58"/>
      <c r="L43" s="58"/>
    </row>
    <row r="44" spans="1:12" ht="20.45" customHeight="1" x14ac:dyDescent="0.3">
      <c r="A44" s="10">
        <f t="shared" si="8"/>
        <v>27</v>
      </c>
      <c r="B44" s="59"/>
      <c r="C44" s="59"/>
      <c r="D44" s="59"/>
      <c r="E44" s="119"/>
      <c r="F44" s="120"/>
      <c r="G44" s="11">
        <f t="shared" si="7"/>
        <v>57</v>
      </c>
      <c r="H44" s="56"/>
      <c r="I44" s="56"/>
      <c r="J44" s="56"/>
      <c r="K44" s="58"/>
      <c r="L44" s="58"/>
    </row>
    <row r="45" spans="1:12" ht="20.45" customHeight="1" x14ac:dyDescent="0.3">
      <c r="A45" s="10">
        <f t="shared" si="8"/>
        <v>28</v>
      </c>
      <c r="B45" s="56"/>
      <c r="C45" s="56"/>
      <c r="D45" s="56"/>
      <c r="E45" s="58"/>
      <c r="F45" s="116"/>
      <c r="G45" s="11">
        <f t="shared" si="7"/>
        <v>58</v>
      </c>
      <c r="H45" s="56"/>
      <c r="I45" s="56"/>
      <c r="J45" s="56"/>
      <c r="K45" s="58"/>
      <c r="L45" s="61"/>
    </row>
    <row r="46" spans="1:12" ht="20.45" customHeight="1" x14ac:dyDescent="0.3">
      <c r="A46" s="10">
        <f t="shared" si="8"/>
        <v>29</v>
      </c>
      <c r="B46" s="56"/>
      <c r="C46" s="56"/>
      <c r="D46" s="56"/>
      <c r="E46" s="58"/>
      <c r="F46" s="116"/>
      <c r="G46" s="11">
        <f t="shared" si="7"/>
        <v>59</v>
      </c>
      <c r="H46" s="56"/>
      <c r="I46" s="56"/>
      <c r="J46" s="56"/>
      <c r="K46" s="58"/>
      <c r="L46" s="61"/>
    </row>
    <row r="47" spans="1:12" ht="20.45" customHeight="1" x14ac:dyDescent="0.3">
      <c r="A47" s="10">
        <f t="shared" si="8"/>
        <v>30</v>
      </c>
      <c r="B47" s="56"/>
      <c r="C47" s="56"/>
      <c r="D47" s="56"/>
      <c r="E47" s="58"/>
      <c r="F47" s="116"/>
      <c r="G47" s="11">
        <f t="shared" si="7"/>
        <v>60</v>
      </c>
      <c r="H47" s="56"/>
      <c r="I47" s="56"/>
      <c r="J47" s="56"/>
      <c r="K47" s="58"/>
      <c r="L47" s="61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H35:L41">
    <sortCondition ref="K35:K41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38B9-B606-4132-9333-EBDE5C808BE3}">
  <sheetPr codeName="Sheet16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'261014'!C5:F5+1</f>
        <v>46310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'261014'!F8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'261014'!L8</f>
        <v>0</v>
      </c>
      <c r="L8" s="42">
        <f t="shared" ref="L8:L14" si="3">I8+K8</f>
        <v>0</v>
      </c>
    </row>
    <row r="9" spans="1:14" ht="21.95" customHeight="1" x14ac:dyDescent="0.3">
      <c r="A9" s="4">
        <v>2</v>
      </c>
      <c r="B9" s="103" t="str">
        <f>'261001'!B9</f>
        <v>관리자</v>
      </c>
      <c r="C9" s="142">
        <f t="shared" si="0"/>
        <v>0</v>
      </c>
      <c r="D9" s="142"/>
      <c r="E9" s="38">
        <f>'261014'!F9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'261014'!L9</f>
        <v>0</v>
      </c>
      <c r="L9" s="34">
        <f t="shared" si="3"/>
        <v>0</v>
      </c>
    </row>
    <row r="10" spans="1:14" ht="21.95" customHeight="1" x14ac:dyDescent="0.3">
      <c r="A10" s="4">
        <v>3</v>
      </c>
      <c r="B10" s="103" t="str">
        <f>'261001'!B10</f>
        <v>직영</v>
      </c>
      <c r="C10" s="142">
        <f t="shared" si="0"/>
        <v>0</v>
      </c>
      <c r="D10" s="142"/>
      <c r="E10" s="38">
        <f>'261014'!F10</f>
        <v>0</v>
      </c>
      <c r="F10" s="34">
        <f t="shared" si="1"/>
        <v>0</v>
      </c>
      <c r="G10" s="8">
        <f t="shared" ref="G10:G14" si="4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'261014'!L10</f>
        <v>0</v>
      </c>
      <c r="L10" s="34">
        <f t="shared" si="3"/>
        <v>0</v>
      </c>
    </row>
    <row r="11" spans="1:14" ht="21.95" customHeight="1" x14ac:dyDescent="0.3">
      <c r="A11" s="4">
        <v>4</v>
      </c>
      <c r="B11" s="103" t="str">
        <f>'261001'!B11</f>
        <v>단열</v>
      </c>
      <c r="C11" s="142">
        <f t="shared" si="0"/>
        <v>0</v>
      </c>
      <c r="D11" s="142"/>
      <c r="E11" s="38">
        <f>'261014'!F11</f>
        <v>0</v>
      </c>
      <c r="F11" s="34">
        <f t="shared" si="1"/>
        <v>0</v>
      </c>
      <c r="G11" s="8">
        <f t="shared" si="4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'261014'!L11</f>
        <v>0</v>
      </c>
      <c r="L11" s="34">
        <f t="shared" si="3"/>
        <v>0</v>
      </c>
    </row>
    <row r="12" spans="1:14" ht="21.95" customHeight="1" x14ac:dyDescent="0.3">
      <c r="A12" s="4">
        <v>5</v>
      </c>
      <c r="B12" s="103" t="str">
        <f>'261001'!B12</f>
        <v>경량</v>
      </c>
      <c r="C12" s="142">
        <f t="shared" si="0"/>
        <v>0</v>
      </c>
      <c r="D12" s="142"/>
      <c r="E12" s="38">
        <f>'261014'!F12</f>
        <v>0</v>
      </c>
      <c r="F12" s="34">
        <f t="shared" si="1"/>
        <v>0</v>
      </c>
      <c r="G12" s="8">
        <f t="shared" si="4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'261014'!L12</f>
        <v>0</v>
      </c>
      <c r="L12" s="34">
        <f t="shared" si="3"/>
        <v>0</v>
      </c>
    </row>
    <row r="13" spans="1:14" ht="21.95" customHeight="1" x14ac:dyDescent="0.3">
      <c r="A13" s="4">
        <v>6</v>
      </c>
      <c r="B13" s="103" t="str">
        <f>'261001'!B13</f>
        <v>합지</v>
      </c>
      <c r="C13" s="142">
        <f t="shared" si="0"/>
        <v>0</v>
      </c>
      <c r="D13" s="142"/>
      <c r="E13" s="38">
        <f>'261014'!F13</f>
        <v>0</v>
      </c>
      <c r="F13" s="34">
        <f t="shared" si="1"/>
        <v>0</v>
      </c>
      <c r="G13" s="8">
        <f t="shared" si="4"/>
        <v>13</v>
      </c>
      <c r="H13" s="32">
        <f>'261001'!H13</f>
        <v>0</v>
      </c>
      <c r="I13" s="142">
        <f t="shared" si="2"/>
        <v>0</v>
      </c>
      <c r="J13" s="142"/>
      <c r="K13" s="34">
        <f>'261014'!L13</f>
        <v>0</v>
      </c>
      <c r="L13" s="34">
        <f t="shared" si="3"/>
        <v>0</v>
      </c>
    </row>
    <row r="14" spans="1:14" ht="21.95" customHeight="1" x14ac:dyDescent="0.3">
      <c r="A14" s="5">
        <v>7</v>
      </c>
      <c r="B14" s="104" t="str">
        <f>'261001'!B14</f>
        <v>천정</v>
      </c>
      <c r="C14" s="150">
        <f t="shared" si="0"/>
        <v>0</v>
      </c>
      <c r="D14" s="150"/>
      <c r="E14" s="39">
        <f>'261014'!F14</f>
        <v>0</v>
      </c>
      <c r="F14" s="40">
        <f t="shared" ref="F14" si="5">C14+E14</f>
        <v>0</v>
      </c>
      <c r="G14" s="8">
        <f t="shared" si="4"/>
        <v>14</v>
      </c>
      <c r="H14" s="33">
        <f>'261001'!H14</f>
        <v>0</v>
      </c>
      <c r="I14" s="150">
        <f t="shared" si="2"/>
        <v>0</v>
      </c>
      <c r="J14" s="150"/>
      <c r="K14" s="40">
        <f>'261014'!L14</f>
        <v>0</v>
      </c>
      <c r="L14" s="40">
        <f t="shared" si="3"/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58"/>
    </row>
    <row r="19" spans="1:12" ht="20.45" customHeight="1" x14ac:dyDescent="0.3">
      <c r="A19" s="10">
        <f t="shared" ref="A19:A31" si="6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6"/>
        <v>3</v>
      </c>
      <c r="B20" s="56"/>
      <c r="C20" s="56"/>
      <c r="D20" s="56"/>
      <c r="E20" s="58"/>
      <c r="F20" s="125"/>
      <c r="G20" s="92">
        <f t="shared" ref="G20:G47" si="7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6"/>
        <v>4</v>
      </c>
      <c r="B21" s="56"/>
      <c r="C21" s="56"/>
      <c r="D21" s="56"/>
      <c r="E21" s="58"/>
      <c r="F21" s="58"/>
      <c r="G21" s="92">
        <f t="shared" si="7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6"/>
        <v>5</v>
      </c>
      <c r="B22" s="56"/>
      <c r="C22" s="56"/>
      <c r="D22" s="56"/>
      <c r="E22" s="58"/>
      <c r="F22" s="58"/>
      <c r="G22" s="92">
        <f t="shared" si="7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6"/>
        <v>6</v>
      </c>
      <c r="B23" s="56"/>
      <c r="C23" s="56"/>
      <c r="D23" s="56"/>
      <c r="E23" s="58"/>
      <c r="F23" s="58"/>
      <c r="G23" s="92">
        <f t="shared" si="7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6"/>
        <v>7</v>
      </c>
      <c r="B24" s="56"/>
      <c r="C24" s="56"/>
      <c r="D24" s="56"/>
      <c r="E24" s="58"/>
      <c r="F24" s="58"/>
      <c r="G24" s="92">
        <f t="shared" si="7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6"/>
        <v>8</v>
      </c>
      <c r="B25" s="56"/>
      <c r="C25" s="56"/>
      <c r="D25" s="56"/>
      <c r="E25" s="58"/>
      <c r="F25" s="58"/>
      <c r="G25" s="92">
        <f t="shared" si="7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6"/>
        <v>9</v>
      </c>
      <c r="B26" s="56"/>
      <c r="C26" s="56"/>
      <c r="D26" s="56"/>
      <c r="E26" s="58"/>
      <c r="F26" s="116"/>
      <c r="G26" s="92">
        <f t="shared" si="7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6"/>
        <v>10</v>
      </c>
      <c r="B27" s="59"/>
      <c r="C27" s="59"/>
      <c r="D27" s="59"/>
      <c r="E27" s="119"/>
      <c r="F27" s="120"/>
      <c r="G27" s="92">
        <f t="shared" si="7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6"/>
        <v>11</v>
      </c>
      <c r="B28" s="56"/>
      <c r="C28" s="56"/>
      <c r="D28" s="56"/>
      <c r="E28" s="119"/>
      <c r="F28" s="120"/>
      <c r="G28" s="92">
        <f t="shared" si="7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6"/>
        <v>12</v>
      </c>
      <c r="B29" s="56"/>
      <c r="C29" s="56"/>
      <c r="D29" s="56"/>
      <c r="E29" s="58"/>
      <c r="F29" s="116"/>
      <c r="G29" s="92">
        <f t="shared" si="7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6"/>
        <v>13</v>
      </c>
      <c r="B30" s="56"/>
      <c r="C30" s="56"/>
      <c r="D30" s="56"/>
      <c r="E30" s="58"/>
      <c r="F30" s="116"/>
      <c r="G30" s="92">
        <f t="shared" si="7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6"/>
        <v>14</v>
      </c>
      <c r="B31" s="56"/>
      <c r="C31" s="56"/>
      <c r="D31" s="56"/>
      <c r="E31" s="58"/>
      <c r="F31" s="61"/>
      <c r="G31" s="92">
        <f t="shared" si="7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92">
        <f t="shared" si="7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8">A32+1</f>
        <v>16</v>
      </c>
      <c r="B33" s="56"/>
      <c r="C33" s="56"/>
      <c r="D33" s="56"/>
      <c r="E33" s="58"/>
      <c r="F33" s="61"/>
      <c r="G33" s="92">
        <f t="shared" si="7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8"/>
        <v>17</v>
      </c>
      <c r="B34" s="59"/>
      <c r="C34" s="59"/>
      <c r="D34" s="59"/>
      <c r="E34" s="58"/>
      <c r="F34" s="125"/>
      <c r="G34" s="92">
        <f t="shared" si="7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8"/>
        <v>18</v>
      </c>
      <c r="B35" s="56"/>
      <c r="C35" s="56"/>
      <c r="D35" s="56"/>
      <c r="E35" s="58"/>
      <c r="F35" s="61"/>
      <c r="G35" s="92">
        <f t="shared" si="7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8"/>
        <v>19</v>
      </c>
      <c r="B36" s="56"/>
      <c r="C36" s="56"/>
      <c r="D36" s="56"/>
      <c r="E36" s="58"/>
      <c r="F36" s="61"/>
      <c r="G36" s="92">
        <f t="shared" si="7"/>
        <v>49</v>
      </c>
      <c r="H36" s="56"/>
      <c r="I36" s="56"/>
      <c r="J36" s="56"/>
      <c r="K36" s="58"/>
      <c r="L36" s="61"/>
    </row>
    <row r="37" spans="1:12" ht="20.45" customHeight="1" x14ac:dyDescent="0.3">
      <c r="A37" s="10">
        <f t="shared" si="8"/>
        <v>20</v>
      </c>
      <c r="B37" s="56"/>
      <c r="C37" s="56"/>
      <c r="D37" s="56"/>
      <c r="E37" s="58"/>
      <c r="F37" s="61"/>
      <c r="G37" s="92">
        <f t="shared" si="7"/>
        <v>50</v>
      </c>
      <c r="H37" s="56"/>
      <c r="I37" s="56"/>
      <c r="J37" s="56"/>
      <c r="K37" s="58"/>
      <c r="L37" s="61"/>
    </row>
    <row r="38" spans="1:12" ht="20.45" customHeight="1" x14ac:dyDescent="0.3">
      <c r="A38" s="10">
        <f t="shared" si="8"/>
        <v>21</v>
      </c>
      <c r="B38" s="56"/>
      <c r="C38" s="56"/>
      <c r="D38" s="56"/>
      <c r="E38" s="58"/>
      <c r="F38" s="116"/>
      <c r="G38" s="92">
        <f t="shared" si="7"/>
        <v>51</v>
      </c>
      <c r="H38" s="56"/>
      <c r="I38" s="56"/>
      <c r="J38" s="56"/>
      <c r="K38" s="58"/>
      <c r="L38" s="61"/>
    </row>
    <row r="39" spans="1:12" ht="20.45" customHeight="1" x14ac:dyDescent="0.3">
      <c r="A39" s="10">
        <f t="shared" si="8"/>
        <v>22</v>
      </c>
      <c r="B39" s="56"/>
      <c r="C39" s="56"/>
      <c r="D39" s="56"/>
      <c r="E39" s="58"/>
      <c r="F39" s="58"/>
      <c r="G39" s="92">
        <f t="shared" si="7"/>
        <v>52</v>
      </c>
      <c r="H39" s="56"/>
      <c r="I39" s="56"/>
      <c r="J39" s="56"/>
      <c r="K39" s="58"/>
      <c r="L39" s="61"/>
    </row>
    <row r="40" spans="1:12" ht="20.45" customHeight="1" x14ac:dyDescent="0.3">
      <c r="A40" s="10">
        <f t="shared" si="8"/>
        <v>23</v>
      </c>
      <c r="B40" s="56"/>
      <c r="C40" s="56"/>
      <c r="D40" s="56"/>
      <c r="E40" s="58"/>
      <c r="F40" s="61"/>
      <c r="G40" s="92">
        <f t="shared" si="7"/>
        <v>53</v>
      </c>
      <c r="H40" s="56"/>
      <c r="I40" s="56"/>
      <c r="J40" s="56"/>
      <c r="K40" s="58"/>
      <c r="L40" s="61"/>
    </row>
    <row r="41" spans="1:12" ht="20.45" customHeight="1" x14ac:dyDescent="0.3">
      <c r="A41" s="10">
        <f t="shared" si="8"/>
        <v>24</v>
      </c>
      <c r="B41" s="56"/>
      <c r="C41" s="56"/>
      <c r="D41" s="56"/>
      <c r="E41" s="58"/>
      <c r="F41" s="61"/>
      <c r="G41" s="92">
        <f t="shared" si="7"/>
        <v>54</v>
      </c>
      <c r="H41" s="56"/>
      <c r="I41" s="56"/>
      <c r="J41" s="56"/>
      <c r="K41" s="58"/>
      <c r="L41" s="61"/>
    </row>
    <row r="42" spans="1:12" ht="20.45" customHeight="1" x14ac:dyDescent="0.3">
      <c r="A42" s="10">
        <f t="shared" si="8"/>
        <v>25</v>
      </c>
      <c r="B42" s="56"/>
      <c r="C42" s="56"/>
      <c r="D42" s="56"/>
      <c r="E42" s="58"/>
      <c r="F42" s="116"/>
      <c r="G42" s="92">
        <f t="shared" si="7"/>
        <v>55</v>
      </c>
      <c r="H42" s="56"/>
      <c r="I42" s="56"/>
      <c r="J42" s="56"/>
      <c r="K42" s="58"/>
      <c r="L42" s="61"/>
    </row>
    <row r="43" spans="1:12" ht="20.45" customHeight="1" x14ac:dyDescent="0.3">
      <c r="A43" s="10">
        <f t="shared" si="8"/>
        <v>26</v>
      </c>
      <c r="B43" s="56"/>
      <c r="C43" s="56"/>
      <c r="D43" s="56"/>
      <c r="E43" s="58"/>
      <c r="F43" s="58"/>
      <c r="G43" s="92">
        <f t="shared" si="7"/>
        <v>56</v>
      </c>
      <c r="H43" s="56"/>
      <c r="I43" s="56"/>
      <c r="J43" s="56"/>
      <c r="K43" s="58"/>
      <c r="L43" s="61"/>
    </row>
    <row r="44" spans="1:12" ht="20.45" customHeight="1" x14ac:dyDescent="0.3">
      <c r="A44" s="10">
        <f t="shared" si="8"/>
        <v>27</v>
      </c>
      <c r="B44" s="56"/>
      <c r="C44" s="56"/>
      <c r="D44" s="56"/>
      <c r="E44" s="58"/>
      <c r="F44" s="58"/>
      <c r="G44" s="92">
        <f t="shared" si="7"/>
        <v>57</v>
      </c>
      <c r="H44" s="56"/>
      <c r="I44" s="56"/>
      <c r="J44" s="56"/>
      <c r="K44" s="58"/>
      <c r="L44" s="61"/>
    </row>
    <row r="45" spans="1:12" ht="20.45" customHeight="1" x14ac:dyDescent="0.3">
      <c r="A45" s="10">
        <f t="shared" si="8"/>
        <v>28</v>
      </c>
      <c r="B45" s="56"/>
      <c r="C45" s="56"/>
      <c r="D45" s="56"/>
      <c r="E45" s="58"/>
      <c r="F45" s="61"/>
      <c r="G45" s="92">
        <f t="shared" si="7"/>
        <v>58</v>
      </c>
      <c r="H45" s="56"/>
      <c r="I45" s="56"/>
      <c r="J45" s="56"/>
      <c r="K45" s="58"/>
      <c r="L45" s="61"/>
    </row>
    <row r="46" spans="1:12" ht="20.45" customHeight="1" x14ac:dyDescent="0.3">
      <c r="A46" s="10">
        <f t="shared" si="8"/>
        <v>29</v>
      </c>
      <c r="B46" s="56"/>
      <c r="C46" s="56"/>
      <c r="D46" s="56"/>
      <c r="E46" s="58"/>
      <c r="F46" s="58"/>
      <c r="G46" s="92">
        <f t="shared" si="7"/>
        <v>59</v>
      </c>
      <c r="H46" s="56"/>
      <c r="I46" s="56"/>
      <c r="J46" s="56"/>
      <c r="K46" s="58"/>
      <c r="L46" s="61"/>
    </row>
    <row r="47" spans="1:12" ht="20.45" customHeight="1" x14ac:dyDescent="0.3">
      <c r="A47" s="10">
        <f t="shared" si="8"/>
        <v>30</v>
      </c>
      <c r="B47" s="56"/>
      <c r="C47" s="56"/>
      <c r="D47" s="56"/>
      <c r="E47" s="58"/>
      <c r="F47" s="61"/>
      <c r="G47" s="114">
        <f t="shared" si="7"/>
        <v>60</v>
      </c>
      <c r="H47" s="112"/>
      <c r="I47" s="112"/>
      <c r="J47" s="112"/>
      <c r="K47" s="113"/>
      <c r="L47" s="11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7:F43">
    <sortCondition ref="E37:E43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5A07-FEF3-4DBF-AF90-646171268408}">
  <sheetPr codeName="Sheet17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'261015'!C5:F5+1</f>
        <v>46311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'261015'!F8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'261015'!L8</f>
        <v>0</v>
      </c>
      <c r="L8" s="42">
        <f t="shared" ref="L8:L14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'261015'!F9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'261015'!L9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'261015'!F10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'261015'!L10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'261015'!F11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'261015'!L11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'261015'!F12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'261015'!L12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'261015'!F13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'261015'!L13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'261015'!F14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'261015'!L14</f>
        <v>0</v>
      </c>
      <c r="L14" s="40">
        <f t="shared" si="3"/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7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7"/>
        <v>3</v>
      </c>
      <c r="B20" s="56"/>
      <c r="C20" s="56"/>
      <c r="D20" s="56"/>
      <c r="E20" s="58"/>
      <c r="F20" s="125"/>
      <c r="G20" s="11">
        <f t="shared" ref="G20:G47" si="8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7"/>
        <v>4</v>
      </c>
      <c r="B21" s="56"/>
      <c r="C21" s="56"/>
      <c r="D21" s="56"/>
      <c r="E21" s="58"/>
      <c r="F21" s="58"/>
      <c r="G21" s="11">
        <f t="shared" si="8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7"/>
        <v>5</v>
      </c>
      <c r="B22" s="56"/>
      <c r="C22" s="56"/>
      <c r="D22" s="56"/>
      <c r="E22" s="58"/>
      <c r="F22" s="58"/>
      <c r="G22" s="11">
        <f t="shared" si="8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7"/>
        <v>6</v>
      </c>
      <c r="B23" s="56"/>
      <c r="C23" s="56"/>
      <c r="D23" s="56"/>
      <c r="E23" s="58"/>
      <c r="F23" s="58"/>
      <c r="G23" s="11">
        <f t="shared" si="8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7"/>
        <v>7</v>
      </c>
      <c r="B24" s="56"/>
      <c r="C24" s="56"/>
      <c r="D24" s="56"/>
      <c r="E24" s="58"/>
      <c r="F24" s="58"/>
      <c r="G24" s="11">
        <f t="shared" si="8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7"/>
        <v>8</v>
      </c>
      <c r="B25" s="56"/>
      <c r="C25" s="56"/>
      <c r="D25" s="56"/>
      <c r="E25" s="58"/>
      <c r="F25" s="58"/>
      <c r="G25" s="11">
        <f t="shared" si="8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7"/>
        <v>9</v>
      </c>
      <c r="B26" s="56"/>
      <c r="C26" s="56"/>
      <c r="D26" s="56"/>
      <c r="E26" s="58"/>
      <c r="F26" s="116"/>
      <c r="G26" s="11">
        <f t="shared" si="8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7"/>
        <v>10</v>
      </c>
      <c r="B27" s="59"/>
      <c r="C27" s="59"/>
      <c r="D27" s="59"/>
      <c r="E27" s="119"/>
      <c r="F27" s="120"/>
      <c r="G27" s="11">
        <f t="shared" si="8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7"/>
        <v>11</v>
      </c>
      <c r="B28" s="56"/>
      <c r="C28" s="56"/>
      <c r="D28" s="56"/>
      <c r="E28" s="119"/>
      <c r="F28" s="120"/>
      <c r="G28" s="11">
        <f t="shared" si="8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7"/>
        <v>12</v>
      </c>
      <c r="B29" s="56"/>
      <c r="C29" s="56"/>
      <c r="D29" s="56"/>
      <c r="E29" s="58"/>
      <c r="F29" s="116"/>
      <c r="G29" s="11">
        <f t="shared" si="8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7"/>
        <v>13</v>
      </c>
      <c r="B30" s="56"/>
      <c r="C30" s="56"/>
      <c r="D30" s="56"/>
      <c r="E30" s="58"/>
      <c r="F30" s="116"/>
      <c r="G30" s="11">
        <f t="shared" si="8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7"/>
        <v>14</v>
      </c>
      <c r="B31" s="56"/>
      <c r="C31" s="56"/>
      <c r="D31" s="56"/>
      <c r="E31" s="58"/>
      <c r="F31" s="61"/>
      <c r="G31" s="11">
        <f t="shared" si="8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11">
        <f t="shared" si="8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9">A32+1</f>
        <v>16</v>
      </c>
      <c r="B33" s="56"/>
      <c r="C33" s="56"/>
      <c r="D33" s="56"/>
      <c r="E33" s="58"/>
      <c r="F33" s="61"/>
      <c r="G33" s="11">
        <f t="shared" si="8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9"/>
        <v>17</v>
      </c>
      <c r="B34" s="44"/>
      <c r="C34" s="44"/>
      <c r="D34" s="44"/>
      <c r="E34" s="46"/>
      <c r="F34" s="45"/>
      <c r="G34" s="11">
        <f t="shared" si="8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9"/>
        <v>18</v>
      </c>
      <c r="B35" s="56"/>
      <c r="C35" s="56"/>
      <c r="D35" s="56"/>
      <c r="E35" s="58"/>
      <c r="F35" s="61"/>
      <c r="G35" s="11">
        <f t="shared" si="8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9"/>
        <v>19</v>
      </c>
      <c r="B36" s="56"/>
      <c r="C36" s="56"/>
      <c r="D36" s="56"/>
      <c r="E36" s="58"/>
      <c r="F36" s="61"/>
      <c r="G36" s="11">
        <f t="shared" si="8"/>
        <v>49</v>
      </c>
      <c r="H36" s="56"/>
      <c r="I36" s="56"/>
      <c r="J36" s="56"/>
      <c r="K36" s="58"/>
      <c r="L36" s="61"/>
    </row>
    <row r="37" spans="1:12" ht="20.45" customHeight="1" x14ac:dyDescent="0.3">
      <c r="A37" s="10">
        <f t="shared" si="9"/>
        <v>20</v>
      </c>
      <c r="B37" s="44"/>
      <c r="C37" s="44"/>
      <c r="D37" s="44"/>
      <c r="E37" s="46"/>
      <c r="F37" s="45"/>
      <c r="G37" s="11">
        <f t="shared" si="8"/>
        <v>50</v>
      </c>
      <c r="H37" s="56"/>
      <c r="I37" s="56"/>
      <c r="J37" s="56"/>
      <c r="K37" s="58"/>
      <c r="L37" s="61"/>
    </row>
    <row r="38" spans="1:12" ht="20.45" customHeight="1" x14ac:dyDescent="0.3">
      <c r="A38" s="10">
        <f t="shared" si="9"/>
        <v>21</v>
      </c>
      <c r="B38" s="44"/>
      <c r="C38" s="44"/>
      <c r="D38" s="44"/>
      <c r="E38" s="46"/>
      <c r="F38" s="45"/>
      <c r="G38" s="11">
        <f t="shared" si="8"/>
        <v>51</v>
      </c>
      <c r="H38" s="56"/>
      <c r="I38" s="56"/>
      <c r="J38" s="56"/>
      <c r="K38" s="58"/>
      <c r="L38" s="116"/>
    </row>
    <row r="39" spans="1:12" ht="20.45" customHeight="1" x14ac:dyDescent="0.3">
      <c r="A39" s="10">
        <f t="shared" si="9"/>
        <v>22</v>
      </c>
      <c r="B39" s="56"/>
      <c r="C39" s="56"/>
      <c r="D39" s="56"/>
      <c r="E39" s="58"/>
      <c r="F39" s="61"/>
      <c r="G39" s="11">
        <f t="shared" si="8"/>
        <v>52</v>
      </c>
      <c r="H39" s="56"/>
      <c r="I39" s="56"/>
      <c r="J39" s="56"/>
      <c r="K39" s="58"/>
      <c r="L39" s="58"/>
    </row>
    <row r="40" spans="1:12" ht="20.45" customHeight="1" x14ac:dyDescent="0.3">
      <c r="A40" s="10">
        <f t="shared" si="9"/>
        <v>23</v>
      </c>
      <c r="B40" s="56"/>
      <c r="C40" s="56"/>
      <c r="D40" s="56"/>
      <c r="E40" s="58"/>
      <c r="F40" s="116"/>
      <c r="G40" s="11">
        <f t="shared" si="8"/>
        <v>53</v>
      </c>
      <c r="H40" s="56"/>
      <c r="I40" s="56"/>
      <c r="J40" s="56"/>
      <c r="K40" s="58"/>
      <c r="L40" s="61"/>
    </row>
    <row r="41" spans="1:12" ht="20.45" customHeight="1" x14ac:dyDescent="0.3">
      <c r="A41" s="10">
        <f t="shared" si="9"/>
        <v>24</v>
      </c>
      <c r="B41" s="56"/>
      <c r="C41" s="56"/>
      <c r="D41" s="56"/>
      <c r="E41" s="58"/>
      <c r="F41" s="58"/>
      <c r="G41" s="11">
        <f t="shared" si="8"/>
        <v>54</v>
      </c>
      <c r="H41" s="56"/>
      <c r="I41" s="56"/>
      <c r="J41" s="56"/>
      <c r="K41" s="58"/>
      <c r="L41" s="61"/>
    </row>
    <row r="42" spans="1:12" ht="20.45" customHeight="1" x14ac:dyDescent="0.3">
      <c r="A42" s="10">
        <f t="shared" si="9"/>
        <v>25</v>
      </c>
      <c r="B42" s="56"/>
      <c r="C42" s="56"/>
      <c r="D42" s="56"/>
      <c r="E42" s="58"/>
      <c r="F42" s="61"/>
      <c r="G42" s="11">
        <f t="shared" si="8"/>
        <v>55</v>
      </c>
      <c r="H42" s="56"/>
      <c r="I42" s="56"/>
      <c r="J42" s="56"/>
      <c r="K42" s="58"/>
      <c r="L42" s="116"/>
    </row>
    <row r="43" spans="1:12" ht="20.45" customHeight="1" x14ac:dyDescent="0.3">
      <c r="A43" s="10">
        <f t="shared" si="9"/>
        <v>26</v>
      </c>
      <c r="B43" s="56"/>
      <c r="C43" s="56"/>
      <c r="D43" s="56"/>
      <c r="E43" s="58"/>
      <c r="F43" s="61"/>
      <c r="G43" s="11">
        <f t="shared" si="8"/>
        <v>56</v>
      </c>
      <c r="H43" s="56"/>
      <c r="I43" s="56"/>
      <c r="J43" s="56"/>
      <c r="K43" s="58"/>
      <c r="L43" s="58"/>
    </row>
    <row r="44" spans="1:12" ht="20.45" customHeight="1" x14ac:dyDescent="0.3">
      <c r="A44" s="10">
        <f t="shared" si="9"/>
        <v>27</v>
      </c>
      <c r="B44" s="56"/>
      <c r="C44" s="56"/>
      <c r="D44" s="56"/>
      <c r="E44" s="58"/>
      <c r="F44" s="116"/>
      <c r="G44" s="11">
        <f t="shared" si="8"/>
        <v>57</v>
      </c>
      <c r="H44" s="56"/>
      <c r="I44" s="56"/>
      <c r="J44" s="56"/>
      <c r="K44" s="58"/>
      <c r="L44" s="58"/>
    </row>
    <row r="45" spans="1:12" ht="20.45" customHeight="1" x14ac:dyDescent="0.3">
      <c r="A45" s="10">
        <f t="shared" si="9"/>
        <v>28</v>
      </c>
      <c r="B45" s="56"/>
      <c r="C45" s="56"/>
      <c r="D45" s="56"/>
      <c r="E45" s="58"/>
      <c r="F45" s="58"/>
      <c r="G45" s="11">
        <f t="shared" si="8"/>
        <v>58</v>
      </c>
      <c r="H45" s="56"/>
      <c r="I45" s="56"/>
      <c r="J45" s="56"/>
      <c r="K45" s="58"/>
      <c r="L45" s="61"/>
    </row>
    <row r="46" spans="1:12" ht="20.45" customHeight="1" x14ac:dyDescent="0.3">
      <c r="A46" s="10">
        <f t="shared" si="9"/>
        <v>29</v>
      </c>
      <c r="B46" s="56"/>
      <c r="C46" s="56"/>
      <c r="D46" s="56"/>
      <c r="E46" s="58"/>
      <c r="F46" s="58"/>
      <c r="G46" s="11">
        <f t="shared" si="8"/>
        <v>59</v>
      </c>
      <c r="H46" s="44"/>
      <c r="I46" s="44"/>
      <c r="J46" s="44"/>
      <c r="K46" s="46"/>
      <c r="L46" s="45"/>
    </row>
    <row r="47" spans="1:12" ht="20.45" customHeight="1" x14ac:dyDescent="0.3">
      <c r="A47" s="10">
        <f t="shared" si="9"/>
        <v>30</v>
      </c>
      <c r="B47" s="56"/>
      <c r="C47" s="56"/>
      <c r="D47" s="56"/>
      <c r="E47" s="58"/>
      <c r="F47" s="61"/>
      <c r="G47" s="11">
        <f t="shared" si="8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9:F34">
    <sortCondition ref="E29:E34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9A6E7-46BC-48AF-9246-45F26122F819}">
  <sheetPr codeName="Sheet18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'261016'!C5:F5+1</f>
        <v>46312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'261016'!F8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'261016'!L8</f>
        <v>0</v>
      </c>
      <c r="L8" s="42">
        <f t="shared" ref="L8:L14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'261016'!F9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'261016'!L9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'261016'!F10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'261016'!L10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'261016'!F11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'261016'!L11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'261016'!F12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'261016'!L12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'261016'!F13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'261016'!L13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'261016'!F14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'261016'!L14</f>
        <v>0</v>
      </c>
      <c r="L14" s="40">
        <f t="shared" si="3"/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7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7"/>
        <v>3</v>
      </c>
      <c r="B20" s="56"/>
      <c r="C20" s="56"/>
      <c r="D20" s="56"/>
      <c r="E20" s="58"/>
      <c r="F20" s="125"/>
      <c r="G20" s="11">
        <f t="shared" ref="G20:G47" si="8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7"/>
        <v>4</v>
      </c>
      <c r="B21" s="56"/>
      <c r="C21" s="56"/>
      <c r="D21" s="56"/>
      <c r="E21" s="58"/>
      <c r="F21" s="58"/>
      <c r="G21" s="11">
        <f t="shared" si="8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7"/>
        <v>5</v>
      </c>
      <c r="B22" s="56"/>
      <c r="C22" s="56"/>
      <c r="D22" s="56"/>
      <c r="E22" s="58"/>
      <c r="F22" s="58"/>
      <c r="G22" s="11">
        <f t="shared" si="8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7"/>
        <v>6</v>
      </c>
      <c r="B23" s="56"/>
      <c r="C23" s="56"/>
      <c r="D23" s="56"/>
      <c r="E23" s="58"/>
      <c r="F23" s="58"/>
      <c r="G23" s="11">
        <f t="shared" si="8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7"/>
        <v>7</v>
      </c>
      <c r="B24" s="56"/>
      <c r="C24" s="56"/>
      <c r="D24" s="56"/>
      <c r="E24" s="58"/>
      <c r="F24" s="58"/>
      <c r="G24" s="11">
        <f t="shared" si="8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7"/>
        <v>8</v>
      </c>
      <c r="B25" s="56"/>
      <c r="C25" s="56"/>
      <c r="D25" s="56"/>
      <c r="E25" s="58"/>
      <c r="F25" s="58"/>
      <c r="G25" s="92">
        <f t="shared" si="8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7"/>
        <v>9</v>
      </c>
      <c r="B26" s="56"/>
      <c r="C26" s="56"/>
      <c r="D26" s="56"/>
      <c r="E26" s="58"/>
      <c r="F26" s="116"/>
      <c r="G26" s="92">
        <f t="shared" si="8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7"/>
        <v>10</v>
      </c>
      <c r="B27" s="56"/>
      <c r="C27" s="56"/>
      <c r="D27" s="56"/>
      <c r="E27" s="58"/>
      <c r="F27" s="116"/>
      <c r="G27" s="92">
        <f t="shared" si="8"/>
        <v>40</v>
      </c>
      <c r="H27" s="56"/>
      <c r="I27" s="56"/>
      <c r="J27" s="56"/>
      <c r="K27" s="58"/>
      <c r="L27" s="58"/>
    </row>
    <row r="28" spans="1:12" ht="20.45" customHeight="1" x14ac:dyDescent="0.3">
      <c r="A28" s="10">
        <f t="shared" si="7"/>
        <v>11</v>
      </c>
      <c r="B28" s="56"/>
      <c r="C28" s="56"/>
      <c r="D28" s="56"/>
      <c r="E28" s="58"/>
      <c r="F28" s="116"/>
      <c r="G28" s="92">
        <f t="shared" si="8"/>
        <v>41</v>
      </c>
      <c r="H28" s="56"/>
      <c r="I28" s="56"/>
      <c r="J28" s="56"/>
      <c r="K28" s="58"/>
      <c r="L28" s="58"/>
    </row>
    <row r="29" spans="1:12" ht="20.45" customHeight="1" x14ac:dyDescent="0.3">
      <c r="A29" s="10">
        <f t="shared" si="7"/>
        <v>12</v>
      </c>
      <c r="B29" s="56"/>
      <c r="C29" s="56"/>
      <c r="D29" s="56"/>
      <c r="E29" s="58"/>
      <c r="F29" s="116"/>
      <c r="G29" s="92">
        <f t="shared" si="8"/>
        <v>42</v>
      </c>
      <c r="H29" s="56"/>
      <c r="I29" s="56"/>
      <c r="J29" s="56"/>
      <c r="K29" s="58"/>
      <c r="L29" s="58"/>
    </row>
    <row r="30" spans="1:12" ht="20.45" customHeight="1" x14ac:dyDescent="0.3">
      <c r="A30" s="10">
        <f t="shared" si="7"/>
        <v>13</v>
      </c>
      <c r="B30" s="56"/>
      <c r="C30" s="56"/>
      <c r="D30" s="56"/>
      <c r="E30" s="58"/>
      <c r="F30" s="116"/>
      <c r="G30" s="92">
        <f t="shared" si="8"/>
        <v>43</v>
      </c>
      <c r="H30" s="56"/>
      <c r="I30" s="56"/>
      <c r="J30" s="56"/>
      <c r="K30" s="58"/>
      <c r="L30" s="58"/>
    </row>
    <row r="31" spans="1:12" ht="20.45" customHeight="1" x14ac:dyDescent="0.3">
      <c r="A31" s="10">
        <f t="shared" si="7"/>
        <v>14</v>
      </c>
      <c r="B31" s="56"/>
      <c r="C31" s="56"/>
      <c r="D31" s="56"/>
      <c r="E31" s="58"/>
      <c r="F31" s="61"/>
      <c r="G31" s="92">
        <f t="shared" si="8"/>
        <v>44</v>
      </c>
      <c r="H31" s="56"/>
      <c r="I31" s="56"/>
      <c r="J31" s="56"/>
      <c r="K31" s="58"/>
      <c r="L31" s="58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92">
        <f t="shared" si="8"/>
        <v>45</v>
      </c>
      <c r="H32" s="56"/>
      <c r="I32" s="56"/>
      <c r="J32" s="56"/>
      <c r="K32" s="58"/>
      <c r="L32" s="58"/>
    </row>
    <row r="33" spans="1:12" ht="20.45" customHeight="1" x14ac:dyDescent="0.3">
      <c r="A33" s="10">
        <f t="shared" ref="A33:A47" si="9">A32+1</f>
        <v>16</v>
      </c>
      <c r="B33" s="56"/>
      <c r="C33" s="56"/>
      <c r="D33" s="56"/>
      <c r="E33" s="58"/>
      <c r="F33" s="61"/>
      <c r="G33" s="92">
        <f t="shared" si="8"/>
        <v>46</v>
      </c>
      <c r="H33" s="56"/>
      <c r="I33" s="56"/>
      <c r="J33" s="56"/>
      <c r="K33" s="58"/>
      <c r="L33" s="58"/>
    </row>
    <row r="34" spans="1:12" ht="20.45" customHeight="1" x14ac:dyDescent="0.3">
      <c r="A34" s="10">
        <f t="shared" si="9"/>
        <v>17</v>
      </c>
      <c r="B34" s="44"/>
      <c r="C34" s="56"/>
      <c r="D34" s="44"/>
      <c r="E34" s="46"/>
      <c r="F34" s="45"/>
      <c r="G34" s="92">
        <f t="shared" si="8"/>
        <v>47</v>
      </c>
      <c r="H34" s="56"/>
      <c r="I34" s="56"/>
      <c r="J34" s="56"/>
      <c r="K34" s="58"/>
      <c r="L34" s="58"/>
    </row>
    <row r="35" spans="1:12" ht="20.45" customHeight="1" x14ac:dyDescent="0.3">
      <c r="A35" s="10">
        <f t="shared" si="9"/>
        <v>18</v>
      </c>
      <c r="B35" s="44"/>
      <c r="C35" s="56"/>
      <c r="D35" s="44"/>
      <c r="E35" s="46"/>
      <c r="F35" s="45"/>
      <c r="G35" s="92">
        <f t="shared" si="8"/>
        <v>48</v>
      </c>
      <c r="H35" s="56"/>
      <c r="I35" s="56"/>
      <c r="J35" s="56"/>
      <c r="K35" s="58"/>
      <c r="L35" s="58"/>
    </row>
    <row r="36" spans="1:12" ht="20.45" customHeight="1" x14ac:dyDescent="0.3">
      <c r="A36" s="10">
        <f t="shared" si="9"/>
        <v>19</v>
      </c>
      <c r="B36" s="56"/>
      <c r="C36" s="56"/>
      <c r="D36" s="56"/>
      <c r="E36" s="58"/>
      <c r="F36" s="61"/>
      <c r="G36" s="92">
        <f t="shared" si="8"/>
        <v>49</v>
      </c>
      <c r="H36" s="56"/>
      <c r="I36" s="56"/>
      <c r="J36" s="56"/>
      <c r="K36" s="58"/>
      <c r="L36" s="58"/>
    </row>
    <row r="37" spans="1:12" ht="20.45" customHeight="1" x14ac:dyDescent="0.3">
      <c r="A37" s="10">
        <f t="shared" si="9"/>
        <v>20</v>
      </c>
      <c r="B37" s="44"/>
      <c r="C37" s="44"/>
      <c r="D37" s="44"/>
      <c r="E37" s="46"/>
      <c r="F37" s="45"/>
      <c r="G37" s="92">
        <f t="shared" si="8"/>
        <v>50</v>
      </c>
      <c r="H37" s="56"/>
      <c r="I37" s="56"/>
      <c r="J37" s="56"/>
      <c r="K37" s="58"/>
      <c r="L37" s="58"/>
    </row>
    <row r="38" spans="1:12" ht="20.45" customHeight="1" x14ac:dyDescent="0.3">
      <c r="A38" s="10">
        <f t="shared" si="9"/>
        <v>21</v>
      </c>
      <c r="B38" s="44"/>
      <c r="C38" s="44"/>
      <c r="D38" s="44"/>
      <c r="E38" s="46"/>
      <c r="F38" s="45"/>
      <c r="G38" s="92">
        <f t="shared" si="8"/>
        <v>51</v>
      </c>
      <c r="H38" s="56"/>
      <c r="I38" s="56"/>
      <c r="J38" s="56"/>
      <c r="K38" s="58"/>
      <c r="L38" s="58"/>
    </row>
    <row r="39" spans="1:12" ht="20.45" customHeight="1" x14ac:dyDescent="0.3">
      <c r="A39" s="10">
        <f t="shared" si="9"/>
        <v>22</v>
      </c>
      <c r="B39" s="56"/>
      <c r="C39" s="56"/>
      <c r="D39" s="56"/>
      <c r="E39" s="58"/>
      <c r="F39" s="61"/>
      <c r="G39" s="92">
        <f t="shared" si="8"/>
        <v>52</v>
      </c>
      <c r="H39" s="56"/>
      <c r="I39" s="56"/>
      <c r="J39" s="56"/>
      <c r="K39" s="58"/>
      <c r="L39" s="58"/>
    </row>
    <row r="40" spans="1:12" ht="20.45" customHeight="1" x14ac:dyDescent="0.3">
      <c r="A40" s="10">
        <f t="shared" si="9"/>
        <v>23</v>
      </c>
      <c r="B40" s="56"/>
      <c r="C40" s="56"/>
      <c r="D40" s="56"/>
      <c r="E40" s="58"/>
      <c r="F40" s="116"/>
      <c r="G40" s="92">
        <f t="shared" si="8"/>
        <v>53</v>
      </c>
      <c r="H40" s="56"/>
      <c r="I40" s="56"/>
      <c r="J40" s="93"/>
      <c r="K40" s="58"/>
      <c r="L40" s="61"/>
    </row>
    <row r="41" spans="1:12" ht="20.45" customHeight="1" x14ac:dyDescent="0.3">
      <c r="A41" s="10">
        <f t="shared" si="9"/>
        <v>24</v>
      </c>
      <c r="B41" s="56"/>
      <c r="C41" s="56"/>
      <c r="D41" s="56"/>
      <c r="E41" s="58"/>
      <c r="F41" s="58"/>
      <c r="G41" s="92">
        <f t="shared" si="8"/>
        <v>54</v>
      </c>
      <c r="H41" s="56"/>
      <c r="I41" s="56"/>
      <c r="J41" s="93"/>
      <c r="K41" s="58"/>
      <c r="L41" s="61"/>
    </row>
    <row r="42" spans="1:12" ht="20.45" customHeight="1" x14ac:dyDescent="0.3">
      <c r="A42" s="10">
        <f t="shared" si="9"/>
        <v>25</v>
      </c>
      <c r="B42" s="56"/>
      <c r="C42" s="56"/>
      <c r="D42" s="56"/>
      <c r="E42" s="58"/>
      <c r="F42" s="61"/>
      <c r="G42" s="92">
        <f t="shared" si="8"/>
        <v>55</v>
      </c>
      <c r="H42" s="56"/>
      <c r="I42" s="56"/>
      <c r="J42" s="93"/>
      <c r="K42" s="58"/>
      <c r="L42" s="61"/>
    </row>
    <row r="43" spans="1:12" ht="20.45" customHeight="1" x14ac:dyDescent="0.3">
      <c r="A43" s="10">
        <f t="shared" si="9"/>
        <v>26</v>
      </c>
      <c r="B43" s="56"/>
      <c r="C43" s="56"/>
      <c r="D43" s="56"/>
      <c r="E43" s="58"/>
      <c r="F43" s="61"/>
      <c r="G43" s="92">
        <f t="shared" si="8"/>
        <v>56</v>
      </c>
      <c r="H43" s="56"/>
      <c r="I43" s="56"/>
      <c r="J43" s="56"/>
      <c r="K43" s="58"/>
      <c r="L43" s="58"/>
    </row>
    <row r="44" spans="1:12" ht="20.45" customHeight="1" x14ac:dyDescent="0.3">
      <c r="A44" s="10">
        <f t="shared" si="9"/>
        <v>27</v>
      </c>
      <c r="B44" s="56"/>
      <c r="C44" s="56"/>
      <c r="D44" s="56"/>
      <c r="E44" s="58"/>
      <c r="F44" s="116"/>
      <c r="G44" s="92">
        <f t="shared" si="8"/>
        <v>57</v>
      </c>
      <c r="H44" s="56"/>
      <c r="I44" s="56"/>
      <c r="J44" s="56"/>
      <c r="K44" s="58"/>
      <c r="L44" s="58"/>
    </row>
    <row r="45" spans="1:12" ht="20.45" customHeight="1" x14ac:dyDescent="0.3">
      <c r="A45" s="10">
        <f t="shared" si="9"/>
        <v>28</v>
      </c>
      <c r="B45" s="56"/>
      <c r="C45" s="56"/>
      <c r="D45" s="56"/>
      <c r="E45" s="58"/>
      <c r="F45" s="58"/>
      <c r="G45" s="92">
        <f t="shared" si="8"/>
        <v>58</v>
      </c>
      <c r="H45" s="56"/>
      <c r="I45" s="56"/>
      <c r="J45" s="56"/>
      <c r="K45" s="58"/>
      <c r="L45" s="61"/>
    </row>
    <row r="46" spans="1:12" ht="20.45" customHeight="1" x14ac:dyDescent="0.3">
      <c r="A46" s="10">
        <f t="shared" si="9"/>
        <v>29</v>
      </c>
      <c r="B46" s="56"/>
      <c r="C46" s="56"/>
      <c r="D46" s="56"/>
      <c r="E46" s="58"/>
      <c r="F46" s="58"/>
      <c r="G46" s="92">
        <f t="shared" si="8"/>
        <v>59</v>
      </c>
      <c r="H46" s="56"/>
      <c r="I46" s="56"/>
      <c r="J46" s="56"/>
      <c r="K46" s="58"/>
      <c r="L46" s="61"/>
    </row>
    <row r="47" spans="1:12" ht="20.45" customHeight="1" x14ac:dyDescent="0.3">
      <c r="A47" s="10">
        <f t="shared" si="9"/>
        <v>30</v>
      </c>
      <c r="B47" s="56"/>
      <c r="C47" s="56"/>
      <c r="D47" s="56"/>
      <c r="E47" s="58"/>
      <c r="F47" s="61"/>
      <c r="G47" s="92">
        <f t="shared" si="8"/>
        <v>60</v>
      </c>
      <c r="H47" s="56"/>
      <c r="I47" s="56"/>
      <c r="J47" s="56"/>
      <c r="K47" s="58"/>
      <c r="L47" s="61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2:F46">
    <sortCondition ref="E32:E46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F618-0F83-4EEE-A4C8-80D3D01135D9}">
  <sheetPr codeName="Sheet19">
    <tabColor rgb="FFFF0000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'261017'!C5:F5+1</f>
        <v>46313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'261017'!F8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'261017'!L8</f>
        <v>0</v>
      </c>
      <c r="L8" s="42">
        <f t="shared" ref="L8:L14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'261017'!F9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'261017'!L9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'261017'!F10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'261017'!L10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'261017'!F11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>COUNTIF($B$18:$B$47,$H11)+COUNTIF($H$18:$H$47,$H11)</f>
        <v>0</v>
      </c>
      <c r="J11" s="142"/>
      <c r="K11" s="34">
        <f>'261017'!L11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'261017'!F12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'261017'!L12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'261017'!F13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'261017'!L13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'261017'!F14</f>
        <v>0</v>
      </c>
      <c r="F14" s="40">
        <f t="shared" ref="F14" si="6">C14+E14</f>
        <v>0</v>
      </c>
      <c r="G14" s="8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'261017'!L14</f>
        <v>0</v>
      </c>
      <c r="L14" s="40">
        <f t="shared" si="3"/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90">
        <v>31</v>
      </c>
      <c r="H18" s="56"/>
      <c r="I18" s="56"/>
      <c r="J18" s="56"/>
      <c r="K18" s="58"/>
      <c r="L18" s="58"/>
    </row>
    <row r="19" spans="1:12" ht="20.45" customHeight="1" x14ac:dyDescent="0.3">
      <c r="A19" s="10">
        <f t="shared" ref="A19:A31" si="7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58"/>
    </row>
    <row r="20" spans="1:12" ht="20.45" customHeight="1" x14ac:dyDescent="0.3">
      <c r="A20" s="10">
        <f t="shared" si="7"/>
        <v>3</v>
      </c>
      <c r="B20" s="56"/>
      <c r="C20" s="56"/>
      <c r="D20" s="56"/>
      <c r="E20" s="58"/>
      <c r="F20" s="125"/>
      <c r="G20" s="92">
        <f t="shared" ref="G20:G47" si="8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7"/>
        <v>4</v>
      </c>
      <c r="B21" s="56"/>
      <c r="C21" s="56"/>
      <c r="D21" s="56"/>
      <c r="E21" s="58"/>
      <c r="F21" s="58"/>
      <c r="G21" s="92">
        <f t="shared" si="8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7"/>
        <v>5</v>
      </c>
      <c r="B22" s="56"/>
      <c r="C22" s="56"/>
      <c r="D22" s="56"/>
      <c r="E22" s="58"/>
      <c r="F22" s="58"/>
      <c r="G22" s="92">
        <f t="shared" si="8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7"/>
        <v>6</v>
      </c>
      <c r="B23" s="56"/>
      <c r="C23" s="56"/>
      <c r="D23" s="56"/>
      <c r="E23" s="58"/>
      <c r="F23" s="58"/>
      <c r="G23" s="92">
        <f t="shared" si="8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7"/>
        <v>7</v>
      </c>
      <c r="B24" s="56"/>
      <c r="C24" s="56"/>
      <c r="D24" s="56"/>
      <c r="E24" s="58"/>
      <c r="F24" s="58"/>
      <c r="G24" s="92">
        <f t="shared" si="8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7"/>
        <v>8</v>
      </c>
      <c r="B25" s="56"/>
      <c r="C25" s="56"/>
      <c r="D25" s="56"/>
      <c r="E25" s="58"/>
      <c r="F25" s="58"/>
      <c r="G25" s="92">
        <f t="shared" si="8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7"/>
        <v>9</v>
      </c>
      <c r="B26" s="56"/>
      <c r="C26" s="56"/>
      <c r="D26" s="56"/>
      <c r="E26" s="58"/>
      <c r="F26" s="116"/>
      <c r="G26" s="92">
        <f t="shared" si="8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7"/>
        <v>10</v>
      </c>
      <c r="B27" s="56"/>
      <c r="C27" s="56"/>
      <c r="D27" s="56"/>
      <c r="E27" s="58"/>
      <c r="F27" s="125"/>
      <c r="G27" s="92">
        <f t="shared" si="8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7"/>
        <v>11</v>
      </c>
      <c r="B28" s="56"/>
      <c r="C28" s="56"/>
      <c r="D28" s="56"/>
      <c r="E28" s="58"/>
      <c r="F28" s="116"/>
      <c r="G28" s="92">
        <f t="shared" si="8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7"/>
        <v>12</v>
      </c>
      <c r="B29" s="56"/>
      <c r="C29" s="56"/>
      <c r="D29" s="56"/>
      <c r="E29" s="58"/>
      <c r="F29" s="116"/>
      <c r="G29" s="92">
        <f t="shared" si="8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7"/>
        <v>13</v>
      </c>
      <c r="B30" s="56"/>
      <c r="C30" s="56"/>
      <c r="D30" s="56"/>
      <c r="E30" s="58"/>
      <c r="F30" s="116"/>
      <c r="G30" s="92">
        <f t="shared" si="8"/>
        <v>43</v>
      </c>
      <c r="H30" s="56"/>
      <c r="I30" s="56"/>
      <c r="J30" s="56"/>
      <c r="K30" s="58"/>
      <c r="L30" s="58"/>
    </row>
    <row r="31" spans="1:12" ht="20.45" customHeight="1" x14ac:dyDescent="0.3">
      <c r="A31" s="10">
        <f t="shared" si="7"/>
        <v>14</v>
      </c>
      <c r="B31" s="56"/>
      <c r="C31" s="56"/>
      <c r="D31" s="56"/>
      <c r="E31" s="58"/>
      <c r="F31" s="61"/>
      <c r="G31" s="92">
        <f t="shared" si="8"/>
        <v>44</v>
      </c>
      <c r="H31" s="56"/>
      <c r="I31" s="56"/>
      <c r="J31" s="56"/>
      <c r="K31" s="58"/>
      <c r="L31" s="58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92">
        <f t="shared" si="8"/>
        <v>45</v>
      </c>
      <c r="H32" s="56"/>
      <c r="I32" s="56"/>
      <c r="J32" s="56"/>
      <c r="K32" s="58"/>
      <c r="L32" s="58"/>
    </row>
    <row r="33" spans="1:12" ht="20.45" customHeight="1" x14ac:dyDescent="0.3">
      <c r="A33" s="10">
        <f t="shared" ref="A33:A47" si="9">A32+1</f>
        <v>16</v>
      </c>
      <c r="B33" s="56"/>
      <c r="C33" s="56"/>
      <c r="D33" s="56"/>
      <c r="E33" s="58"/>
      <c r="F33" s="61"/>
      <c r="G33" s="92">
        <f t="shared" si="8"/>
        <v>46</v>
      </c>
      <c r="H33" s="56"/>
      <c r="I33" s="56"/>
      <c r="J33" s="56"/>
      <c r="K33" s="58"/>
      <c r="L33" s="58"/>
    </row>
    <row r="34" spans="1:12" ht="20.45" customHeight="1" x14ac:dyDescent="0.3">
      <c r="A34" s="10">
        <f t="shared" si="9"/>
        <v>17</v>
      </c>
      <c r="B34" s="44"/>
      <c r="C34" s="56"/>
      <c r="D34" s="44"/>
      <c r="E34" s="46"/>
      <c r="F34" s="45"/>
      <c r="G34" s="92">
        <f t="shared" si="8"/>
        <v>47</v>
      </c>
      <c r="H34" s="56"/>
      <c r="I34" s="56"/>
      <c r="J34" s="56"/>
      <c r="K34" s="58"/>
      <c r="L34" s="58"/>
    </row>
    <row r="35" spans="1:12" ht="20.45" customHeight="1" x14ac:dyDescent="0.3">
      <c r="A35" s="10">
        <f t="shared" si="9"/>
        <v>18</v>
      </c>
      <c r="B35" s="44"/>
      <c r="C35" s="56"/>
      <c r="D35" s="44"/>
      <c r="E35" s="46"/>
      <c r="F35" s="45"/>
      <c r="G35" s="92">
        <f t="shared" si="8"/>
        <v>48</v>
      </c>
      <c r="H35" s="56"/>
      <c r="I35" s="56"/>
      <c r="J35" s="93"/>
      <c r="K35" s="58"/>
      <c r="L35" s="61"/>
    </row>
    <row r="36" spans="1:12" ht="20.45" customHeight="1" x14ac:dyDescent="0.3">
      <c r="A36" s="10">
        <f t="shared" si="9"/>
        <v>19</v>
      </c>
      <c r="B36" s="44"/>
      <c r="C36" s="44"/>
      <c r="D36" s="44"/>
      <c r="E36" s="46"/>
      <c r="F36" s="45"/>
      <c r="G36" s="92">
        <f t="shared" si="8"/>
        <v>49</v>
      </c>
      <c r="H36" s="56"/>
      <c r="I36" s="56"/>
      <c r="J36" s="93"/>
      <c r="K36" s="58"/>
      <c r="L36" s="61"/>
    </row>
    <row r="37" spans="1:12" ht="20.45" customHeight="1" x14ac:dyDescent="0.3">
      <c r="A37" s="10">
        <f t="shared" si="9"/>
        <v>20</v>
      </c>
      <c r="B37" s="44"/>
      <c r="C37" s="44"/>
      <c r="D37" s="44"/>
      <c r="E37" s="46"/>
      <c r="F37" s="45"/>
      <c r="G37" s="92">
        <f t="shared" si="8"/>
        <v>50</v>
      </c>
      <c r="H37" s="56"/>
      <c r="I37" s="56"/>
      <c r="J37" s="93"/>
      <c r="K37" s="58"/>
      <c r="L37" s="61"/>
    </row>
    <row r="38" spans="1:12" ht="20.45" customHeight="1" x14ac:dyDescent="0.3">
      <c r="A38" s="10">
        <f t="shared" si="9"/>
        <v>21</v>
      </c>
      <c r="B38" s="56"/>
      <c r="C38" s="56"/>
      <c r="D38" s="56"/>
      <c r="E38" s="58"/>
      <c r="F38" s="45"/>
      <c r="G38" s="92">
        <f t="shared" si="8"/>
        <v>51</v>
      </c>
      <c r="H38" s="56"/>
      <c r="I38" s="56"/>
      <c r="J38" s="56"/>
      <c r="K38" s="58"/>
      <c r="L38" s="58"/>
    </row>
    <row r="39" spans="1:12" ht="20.45" customHeight="1" x14ac:dyDescent="0.3">
      <c r="A39" s="10">
        <f t="shared" si="9"/>
        <v>22</v>
      </c>
      <c r="B39" s="56"/>
      <c r="C39" s="56"/>
      <c r="D39" s="56"/>
      <c r="E39" s="58"/>
      <c r="F39" s="45"/>
      <c r="G39" s="92">
        <f t="shared" si="8"/>
        <v>52</v>
      </c>
      <c r="H39" s="56"/>
      <c r="I39" s="56"/>
      <c r="J39" s="56"/>
      <c r="K39" s="58"/>
      <c r="L39" s="58"/>
    </row>
    <row r="40" spans="1:12" ht="20.45" customHeight="1" x14ac:dyDescent="0.3">
      <c r="A40" s="10">
        <f t="shared" si="9"/>
        <v>23</v>
      </c>
      <c r="B40" s="56"/>
      <c r="C40" s="56"/>
      <c r="D40" s="56"/>
      <c r="E40" s="58"/>
      <c r="F40" s="58"/>
      <c r="G40" s="92">
        <f t="shared" si="8"/>
        <v>53</v>
      </c>
      <c r="H40" s="56"/>
      <c r="I40" s="56"/>
      <c r="J40" s="93"/>
      <c r="K40" s="58"/>
      <c r="L40" s="61"/>
    </row>
    <row r="41" spans="1:12" ht="20.45" customHeight="1" x14ac:dyDescent="0.3">
      <c r="A41" s="10">
        <f t="shared" si="9"/>
        <v>24</v>
      </c>
      <c r="B41" s="56"/>
      <c r="C41" s="56"/>
      <c r="D41" s="56"/>
      <c r="E41" s="58"/>
      <c r="F41" s="61"/>
      <c r="G41" s="92">
        <f t="shared" si="8"/>
        <v>54</v>
      </c>
      <c r="H41" s="56"/>
      <c r="I41" s="56"/>
      <c r="J41" s="93"/>
      <c r="K41" s="58"/>
      <c r="L41" s="61"/>
    </row>
    <row r="42" spans="1:12" ht="20.45" customHeight="1" x14ac:dyDescent="0.3">
      <c r="A42" s="10">
        <f t="shared" si="9"/>
        <v>25</v>
      </c>
      <c r="B42" s="56"/>
      <c r="C42" s="56"/>
      <c r="D42" s="56"/>
      <c r="E42" s="58"/>
      <c r="F42" s="61"/>
      <c r="G42" s="92">
        <f t="shared" si="8"/>
        <v>55</v>
      </c>
      <c r="H42" s="56"/>
      <c r="I42" s="56"/>
      <c r="J42" s="56"/>
      <c r="K42" s="58"/>
      <c r="L42" s="61"/>
    </row>
    <row r="43" spans="1:12" ht="20.45" customHeight="1" x14ac:dyDescent="0.3">
      <c r="A43" s="10">
        <f t="shared" si="9"/>
        <v>26</v>
      </c>
      <c r="B43" s="56"/>
      <c r="C43" s="56"/>
      <c r="D43" s="56"/>
      <c r="E43" s="58"/>
      <c r="F43" s="116"/>
      <c r="G43" s="92">
        <f t="shared" si="8"/>
        <v>56</v>
      </c>
      <c r="H43" s="56"/>
      <c r="I43" s="56"/>
      <c r="J43" s="56"/>
      <c r="K43" s="58"/>
      <c r="L43" s="61"/>
    </row>
    <row r="44" spans="1:12" ht="20.45" customHeight="1" x14ac:dyDescent="0.3">
      <c r="A44" s="10">
        <f t="shared" si="9"/>
        <v>27</v>
      </c>
      <c r="B44" s="56"/>
      <c r="C44" s="56"/>
      <c r="D44" s="56"/>
      <c r="E44" s="58"/>
      <c r="F44" s="58"/>
      <c r="G44" s="92">
        <f t="shared" si="8"/>
        <v>57</v>
      </c>
      <c r="H44" s="56"/>
      <c r="I44" s="56"/>
      <c r="J44" s="56"/>
      <c r="K44" s="58"/>
      <c r="L44" s="61"/>
    </row>
    <row r="45" spans="1:12" ht="20.45" customHeight="1" x14ac:dyDescent="0.3">
      <c r="A45" s="10">
        <f t="shared" si="9"/>
        <v>28</v>
      </c>
      <c r="B45" s="56"/>
      <c r="C45" s="56"/>
      <c r="D45" s="56"/>
      <c r="E45" s="58"/>
      <c r="F45" s="58"/>
      <c r="G45" s="92">
        <f t="shared" si="8"/>
        <v>58</v>
      </c>
      <c r="H45" s="56"/>
      <c r="I45" s="56"/>
      <c r="J45" s="56"/>
      <c r="K45" s="58"/>
      <c r="L45" s="61"/>
    </row>
    <row r="46" spans="1:12" ht="20.45" customHeight="1" x14ac:dyDescent="0.3">
      <c r="A46" s="10">
        <f t="shared" si="9"/>
        <v>29</v>
      </c>
      <c r="B46" s="56"/>
      <c r="C46" s="56"/>
      <c r="D46" s="56"/>
      <c r="E46" s="58"/>
      <c r="F46" s="61"/>
      <c r="G46" s="92">
        <f t="shared" si="8"/>
        <v>59</v>
      </c>
      <c r="H46" s="56"/>
      <c r="I46" s="56"/>
      <c r="J46" s="56"/>
      <c r="K46" s="58"/>
      <c r="L46" s="61"/>
    </row>
    <row r="47" spans="1:12" ht="20.45" customHeight="1" x14ac:dyDescent="0.3">
      <c r="A47" s="10">
        <f t="shared" si="9"/>
        <v>30</v>
      </c>
      <c r="B47" s="56"/>
      <c r="C47" s="56"/>
      <c r="D47" s="56"/>
      <c r="E47" s="58"/>
      <c r="F47" s="61"/>
      <c r="G47" s="92">
        <f t="shared" si="8"/>
        <v>60</v>
      </c>
      <c r="H47" s="56"/>
      <c r="I47" s="56"/>
      <c r="J47" s="56"/>
      <c r="K47" s="58"/>
      <c r="L47" s="61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5:F38">
    <sortCondition ref="E25:E38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F513A-C1AD-4424-8549-B98295F3C3CA}">
  <sheetPr codeName="Sheet20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'261018'!C5:F5+1</f>
        <v>46314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'261018'!F8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'261018'!L8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'261018'!F9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'261018'!L9</f>
        <v>0</v>
      </c>
      <c r="L9" s="34">
        <f t="shared" si="3"/>
        <v>0</v>
      </c>
    </row>
    <row r="10" spans="1:14" ht="21.95" customHeight="1" x14ac:dyDescent="0.3">
      <c r="A10" s="4">
        <f t="shared" ref="A10:A13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'261018'!F10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'261018'!L10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'261018'!F11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'261018'!L11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'261018'!F12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'261018'!L12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'261018'!F13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'261018'!L13</f>
        <v>0</v>
      </c>
      <c r="L13" s="34">
        <f t="shared" si="3"/>
        <v>0</v>
      </c>
    </row>
    <row r="14" spans="1:14" ht="21.95" customHeight="1" x14ac:dyDescent="0.3">
      <c r="A14" s="5">
        <f t="shared" ref="A14" si="6">A13+1</f>
        <v>7</v>
      </c>
      <c r="B14" s="104" t="str">
        <f>'261001'!B14</f>
        <v>천정</v>
      </c>
      <c r="C14" s="150">
        <f t="shared" si="0"/>
        <v>0</v>
      </c>
      <c r="D14" s="150"/>
      <c r="E14" s="39">
        <f>'261018'!F14</f>
        <v>0</v>
      </c>
      <c r="F14" s="40">
        <f t="shared" ref="F14" si="7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'261018'!L14</f>
        <v>0</v>
      </c>
      <c r="L14" s="40">
        <f t="shared" ref="L14" si="8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9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9"/>
        <v>3</v>
      </c>
      <c r="B20" s="56"/>
      <c r="C20" s="56"/>
      <c r="D20" s="56"/>
      <c r="E20" s="58"/>
      <c r="F20" s="125"/>
      <c r="G20" s="11">
        <f t="shared" ref="G20:G47" si="10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9"/>
        <v>4</v>
      </c>
      <c r="B21" s="56"/>
      <c r="C21" s="56"/>
      <c r="D21" s="56"/>
      <c r="E21" s="58"/>
      <c r="F21" s="58"/>
      <c r="G21" s="11">
        <f t="shared" si="10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9"/>
        <v>5</v>
      </c>
      <c r="B22" s="56"/>
      <c r="C22" s="56"/>
      <c r="D22" s="56"/>
      <c r="E22" s="58"/>
      <c r="F22" s="58"/>
      <c r="G22" s="11">
        <f t="shared" si="10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9"/>
        <v>6</v>
      </c>
      <c r="B23" s="56"/>
      <c r="C23" s="56"/>
      <c r="D23" s="56"/>
      <c r="E23" s="58"/>
      <c r="F23" s="58"/>
      <c r="G23" s="11">
        <f t="shared" si="10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9"/>
        <v>7</v>
      </c>
      <c r="B24" s="56"/>
      <c r="C24" s="56"/>
      <c r="D24" s="56"/>
      <c r="E24" s="58"/>
      <c r="F24" s="58"/>
      <c r="G24" s="11">
        <f t="shared" si="10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9"/>
        <v>8</v>
      </c>
      <c r="B25" s="56"/>
      <c r="C25" s="56"/>
      <c r="D25" s="56"/>
      <c r="E25" s="58"/>
      <c r="F25" s="58"/>
      <c r="G25" s="11">
        <f t="shared" si="10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9"/>
        <v>9</v>
      </c>
      <c r="B26" s="56"/>
      <c r="C26" s="56"/>
      <c r="D26" s="56"/>
      <c r="E26" s="58"/>
      <c r="F26" s="116"/>
      <c r="G26" s="11">
        <f t="shared" si="10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9"/>
        <v>10</v>
      </c>
      <c r="B27" s="56"/>
      <c r="C27" s="56"/>
      <c r="D27" s="56"/>
      <c r="E27" s="58"/>
      <c r="F27" s="125"/>
      <c r="G27" s="11">
        <f t="shared" si="10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9"/>
        <v>11</v>
      </c>
      <c r="B28" s="56"/>
      <c r="C28" s="56"/>
      <c r="D28" s="56"/>
      <c r="E28" s="58"/>
      <c r="F28" s="116"/>
      <c r="G28" s="11">
        <f t="shared" si="10"/>
        <v>41</v>
      </c>
      <c r="H28" s="56"/>
      <c r="I28" s="56"/>
      <c r="J28" s="56"/>
      <c r="K28" s="46"/>
      <c r="L28" s="45"/>
    </row>
    <row r="29" spans="1:12" ht="20.45" customHeight="1" x14ac:dyDescent="0.3">
      <c r="A29" s="10">
        <f t="shared" si="9"/>
        <v>12</v>
      </c>
      <c r="B29" s="56"/>
      <c r="C29" s="56"/>
      <c r="D29" s="56"/>
      <c r="E29" s="58"/>
      <c r="F29" s="116"/>
      <c r="G29" s="11">
        <f t="shared" si="10"/>
        <v>42</v>
      </c>
      <c r="H29" s="56"/>
      <c r="I29" s="56"/>
      <c r="J29" s="56"/>
      <c r="K29" s="46"/>
      <c r="L29" s="45"/>
    </row>
    <row r="30" spans="1:12" ht="20.45" customHeight="1" x14ac:dyDescent="0.3">
      <c r="A30" s="10">
        <f t="shared" si="9"/>
        <v>13</v>
      </c>
      <c r="B30" s="56"/>
      <c r="C30" s="56"/>
      <c r="D30" s="56"/>
      <c r="E30" s="58"/>
      <c r="F30" s="116"/>
      <c r="G30" s="11">
        <f t="shared" si="10"/>
        <v>43</v>
      </c>
      <c r="H30" s="56"/>
      <c r="I30" s="56"/>
      <c r="J30" s="56"/>
      <c r="K30" s="46"/>
      <c r="L30" s="45"/>
    </row>
    <row r="31" spans="1:12" ht="20.45" customHeight="1" x14ac:dyDescent="0.3">
      <c r="A31" s="10">
        <f t="shared" si="9"/>
        <v>14</v>
      </c>
      <c r="B31" s="44"/>
      <c r="C31" s="44"/>
      <c r="D31" s="44"/>
      <c r="E31" s="46"/>
      <c r="F31" s="45"/>
      <c r="G31" s="11">
        <f t="shared" si="10"/>
        <v>44</v>
      </c>
      <c r="H31" s="56"/>
      <c r="I31" s="56"/>
      <c r="J31" s="56"/>
      <c r="K31" s="46"/>
      <c r="L31" s="45"/>
    </row>
    <row r="32" spans="1:12" ht="20.45" customHeight="1" x14ac:dyDescent="0.3">
      <c r="A32" s="10">
        <f>A31+1</f>
        <v>15</v>
      </c>
      <c r="B32" s="44"/>
      <c r="C32" s="44"/>
      <c r="D32" s="44"/>
      <c r="E32" s="46"/>
      <c r="F32" s="45"/>
      <c r="G32" s="11">
        <f t="shared" si="10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1">A32+1</f>
        <v>16</v>
      </c>
      <c r="B33" s="44"/>
      <c r="C33" s="44"/>
      <c r="D33" s="44"/>
      <c r="E33" s="46"/>
      <c r="F33" s="45"/>
      <c r="G33" s="11">
        <f t="shared" si="10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1"/>
        <v>17</v>
      </c>
      <c r="B34" s="56"/>
      <c r="C34" s="56"/>
      <c r="D34" s="56"/>
      <c r="E34" s="46"/>
      <c r="F34" s="45"/>
      <c r="G34" s="11">
        <f t="shared" si="10"/>
        <v>47</v>
      </c>
      <c r="H34" s="44"/>
      <c r="I34" s="44"/>
      <c r="J34" s="93"/>
      <c r="K34" s="58"/>
      <c r="L34" s="61"/>
    </row>
    <row r="35" spans="1:12" ht="20.45" customHeight="1" x14ac:dyDescent="0.3">
      <c r="A35" s="10">
        <f t="shared" si="11"/>
        <v>18</v>
      </c>
      <c r="B35" s="56"/>
      <c r="C35" s="56"/>
      <c r="D35" s="56"/>
      <c r="E35" s="46"/>
      <c r="F35" s="45"/>
      <c r="G35" s="11">
        <f t="shared" si="10"/>
        <v>48</v>
      </c>
      <c r="H35" s="44"/>
      <c r="I35" s="44"/>
      <c r="J35" s="93"/>
      <c r="K35" s="58"/>
      <c r="L35" s="61"/>
    </row>
    <row r="36" spans="1:12" ht="20.45" customHeight="1" x14ac:dyDescent="0.3">
      <c r="A36" s="10">
        <f t="shared" si="11"/>
        <v>19</v>
      </c>
      <c r="B36" s="44"/>
      <c r="C36" s="44"/>
      <c r="D36" s="44"/>
      <c r="E36" s="46"/>
      <c r="F36" s="45"/>
      <c r="G36" s="11">
        <f t="shared" si="10"/>
        <v>49</v>
      </c>
      <c r="H36" s="44"/>
      <c r="I36" s="44"/>
      <c r="J36" s="56"/>
      <c r="K36" s="58"/>
      <c r="L36" s="61"/>
    </row>
    <row r="37" spans="1:12" ht="20.45" customHeight="1" x14ac:dyDescent="0.3">
      <c r="A37" s="10">
        <f t="shared" si="11"/>
        <v>20</v>
      </c>
      <c r="B37" s="44"/>
      <c r="C37" s="44"/>
      <c r="D37" s="44"/>
      <c r="E37" s="46"/>
      <c r="F37" s="45"/>
      <c r="G37" s="11">
        <f t="shared" si="10"/>
        <v>50</v>
      </c>
      <c r="H37" s="44"/>
      <c r="I37" s="44"/>
      <c r="J37" s="56"/>
      <c r="K37" s="58"/>
      <c r="L37" s="61"/>
    </row>
    <row r="38" spans="1:12" ht="20.45" customHeight="1" x14ac:dyDescent="0.3">
      <c r="A38" s="10">
        <f t="shared" si="11"/>
        <v>21</v>
      </c>
      <c r="B38" s="56"/>
      <c r="C38" s="56"/>
      <c r="D38" s="56"/>
      <c r="E38" s="58"/>
      <c r="F38" s="45"/>
      <c r="G38" s="11">
        <f t="shared" si="10"/>
        <v>51</v>
      </c>
      <c r="H38" s="44"/>
      <c r="I38" s="44"/>
      <c r="J38" s="56"/>
      <c r="K38" s="58"/>
      <c r="L38" s="61"/>
    </row>
    <row r="39" spans="1:12" ht="20.45" customHeight="1" x14ac:dyDescent="0.3">
      <c r="A39" s="10">
        <f t="shared" si="11"/>
        <v>22</v>
      </c>
      <c r="B39" s="56"/>
      <c r="C39" s="56"/>
      <c r="D39" s="56"/>
      <c r="E39" s="58"/>
      <c r="F39" s="45"/>
      <c r="G39" s="11">
        <f t="shared" si="10"/>
        <v>52</v>
      </c>
      <c r="H39" s="44"/>
      <c r="I39" s="44"/>
      <c r="J39" s="56"/>
      <c r="K39" s="58"/>
      <c r="L39" s="61"/>
    </row>
    <row r="40" spans="1:12" ht="20.45" customHeight="1" x14ac:dyDescent="0.3">
      <c r="A40" s="10">
        <f t="shared" si="11"/>
        <v>23</v>
      </c>
      <c r="B40" s="56"/>
      <c r="C40" s="56"/>
      <c r="D40" s="56"/>
      <c r="E40" s="58"/>
      <c r="F40" s="58"/>
      <c r="G40" s="11">
        <f t="shared" si="10"/>
        <v>53</v>
      </c>
      <c r="H40" s="44"/>
      <c r="I40" s="44"/>
      <c r="J40" s="56"/>
      <c r="K40" s="58"/>
      <c r="L40" s="61"/>
    </row>
    <row r="41" spans="1:12" ht="20.45" customHeight="1" x14ac:dyDescent="0.3">
      <c r="A41" s="10">
        <f t="shared" si="11"/>
        <v>24</v>
      </c>
      <c r="B41" s="56"/>
      <c r="C41" s="56"/>
      <c r="D41" s="56"/>
      <c r="E41" s="58"/>
      <c r="F41" s="61"/>
      <c r="G41" s="11">
        <f t="shared" si="10"/>
        <v>54</v>
      </c>
      <c r="H41" s="44"/>
      <c r="I41" s="44"/>
      <c r="J41" s="56"/>
      <c r="K41" s="58"/>
      <c r="L41" s="61"/>
    </row>
    <row r="42" spans="1:12" ht="20.45" customHeight="1" x14ac:dyDescent="0.3">
      <c r="A42" s="10">
        <f t="shared" si="11"/>
        <v>25</v>
      </c>
      <c r="B42" s="56"/>
      <c r="C42" s="56"/>
      <c r="D42" s="56"/>
      <c r="E42" s="58"/>
      <c r="F42" s="61"/>
      <c r="G42" s="11">
        <f t="shared" si="10"/>
        <v>55</v>
      </c>
      <c r="H42" s="44"/>
      <c r="I42" s="44"/>
      <c r="J42" s="56"/>
      <c r="K42" s="58"/>
      <c r="L42" s="61"/>
    </row>
    <row r="43" spans="1:12" ht="20.45" customHeight="1" x14ac:dyDescent="0.3">
      <c r="A43" s="10">
        <f t="shared" si="11"/>
        <v>26</v>
      </c>
      <c r="B43" s="56"/>
      <c r="C43" s="56"/>
      <c r="D43" s="56"/>
      <c r="E43" s="58"/>
      <c r="F43" s="116"/>
      <c r="G43" s="11">
        <f t="shared" si="10"/>
        <v>56</v>
      </c>
      <c r="H43" s="44"/>
      <c r="I43" s="44"/>
      <c r="J43" s="56"/>
      <c r="K43" s="58"/>
      <c r="L43" s="61"/>
    </row>
    <row r="44" spans="1:12" ht="20.45" customHeight="1" x14ac:dyDescent="0.3">
      <c r="A44" s="10">
        <f t="shared" si="11"/>
        <v>27</v>
      </c>
      <c r="B44" s="56"/>
      <c r="C44" s="56"/>
      <c r="D44" s="56"/>
      <c r="E44" s="58"/>
      <c r="F44" s="58"/>
      <c r="G44" s="11">
        <f t="shared" si="10"/>
        <v>57</v>
      </c>
      <c r="H44" s="44"/>
      <c r="I44" s="44"/>
      <c r="J44" s="56"/>
      <c r="K44" s="58"/>
      <c r="L44" s="61"/>
    </row>
    <row r="45" spans="1:12" ht="20.45" customHeight="1" x14ac:dyDescent="0.3">
      <c r="A45" s="10">
        <f t="shared" si="11"/>
        <v>28</v>
      </c>
      <c r="B45" s="56"/>
      <c r="C45" s="56"/>
      <c r="D45" s="56"/>
      <c r="E45" s="58"/>
      <c r="F45" s="58"/>
      <c r="G45" s="11">
        <f t="shared" si="10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1"/>
        <v>29</v>
      </c>
      <c r="B46" s="56"/>
      <c r="C46" s="56"/>
      <c r="D46" s="56"/>
      <c r="E46" s="58"/>
      <c r="F46" s="61"/>
      <c r="G46" s="11">
        <f t="shared" si="10"/>
        <v>59</v>
      </c>
      <c r="H46" s="44"/>
      <c r="I46" s="44"/>
      <c r="J46" s="44"/>
      <c r="K46" s="46"/>
      <c r="L46" s="45"/>
    </row>
    <row r="47" spans="1:12" ht="20.45" customHeight="1" x14ac:dyDescent="0.3">
      <c r="A47" s="117">
        <f t="shared" si="11"/>
        <v>30</v>
      </c>
      <c r="B47" s="112"/>
      <c r="C47" s="112"/>
      <c r="D47" s="112"/>
      <c r="E47" s="113"/>
      <c r="F47" s="115"/>
      <c r="G47" s="121">
        <f t="shared" si="10"/>
        <v>60</v>
      </c>
      <c r="H47" s="122"/>
      <c r="I47" s="122"/>
      <c r="J47" s="122"/>
      <c r="K47" s="123"/>
      <c r="L47" s="124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8:F33">
    <sortCondition ref="E28:E33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64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94454-07CD-46B9-899B-78C7D8DFCE34}">
  <sheetPr codeName="Sheet21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'261019'!C5:F5+1</f>
        <v>46315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'261019'!F8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'261019'!L8</f>
        <v>0</v>
      </c>
      <c r="L8" s="42">
        <f t="shared" ref="L8:L14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'261019'!F9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'261019'!L9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'261019'!F10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'261019'!L10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'261019'!F11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'261019'!L11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'261019'!F12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'261019'!L12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'261019'!F13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'261019'!L13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'261019'!F14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'261019'!L14</f>
        <v>0</v>
      </c>
      <c r="L14" s="40">
        <f t="shared" si="3"/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7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7"/>
        <v>3</v>
      </c>
      <c r="B20" s="56"/>
      <c r="C20" s="56"/>
      <c r="D20" s="56"/>
      <c r="E20" s="58"/>
      <c r="F20" s="58"/>
      <c r="G20" s="11">
        <f t="shared" ref="G20:G47" si="8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7"/>
        <v>4</v>
      </c>
      <c r="B21" s="56"/>
      <c r="C21" s="56"/>
      <c r="D21" s="56"/>
      <c r="E21" s="58"/>
      <c r="F21" s="58"/>
      <c r="G21" s="11">
        <f t="shared" si="8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7"/>
        <v>5</v>
      </c>
      <c r="B22" s="56"/>
      <c r="C22" s="56"/>
      <c r="D22" s="56"/>
      <c r="E22" s="58"/>
      <c r="F22" s="116"/>
      <c r="G22" s="11">
        <f t="shared" si="8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7"/>
        <v>6</v>
      </c>
      <c r="B23" s="56"/>
      <c r="C23" s="56"/>
      <c r="D23" s="56"/>
      <c r="E23" s="58"/>
      <c r="F23" s="116"/>
      <c r="G23" s="11">
        <f t="shared" si="8"/>
        <v>36</v>
      </c>
      <c r="H23" s="56"/>
      <c r="I23" s="56"/>
      <c r="J23" s="56"/>
      <c r="K23" s="58"/>
      <c r="L23" s="58"/>
    </row>
    <row r="24" spans="1:12" ht="20.45" customHeight="1" x14ac:dyDescent="0.3">
      <c r="A24" s="10">
        <f t="shared" si="7"/>
        <v>7</v>
      </c>
      <c r="B24" s="56"/>
      <c r="C24" s="56"/>
      <c r="D24" s="56"/>
      <c r="E24" s="58"/>
      <c r="F24" s="125"/>
      <c r="G24" s="11">
        <f t="shared" si="8"/>
        <v>37</v>
      </c>
      <c r="H24" s="56"/>
      <c r="I24" s="56"/>
      <c r="J24" s="56"/>
      <c r="K24" s="58"/>
      <c r="L24" s="58"/>
    </row>
    <row r="25" spans="1:12" ht="20.45" customHeight="1" x14ac:dyDescent="0.3">
      <c r="A25" s="10">
        <f t="shared" si="7"/>
        <v>8</v>
      </c>
      <c r="B25" s="56"/>
      <c r="C25" s="56"/>
      <c r="D25" s="56"/>
      <c r="E25" s="58"/>
      <c r="F25" s="125"/>
      <c r="G25" s="11">
        <f t="shared" si="8"/>
        <v>38</v>
      </c>
      <c r="H25" s="56"/>
      <c r="I25" s="56"/>
      <c r="J25" s="56"/>
      <c r="K25" s="58"/>
      <c r="L25" s="58"/>
    </row>
    <row r="26" spans="1:12" ht="20.45" customHeight="1" x14ac:dyDescent="0.3">
      <c r="A26" s="10">
        <f t="shared" si="7"/>
        <v>9</v>
      </c>
      <c r="B26" s="56"/>
      <c r="C26" s="56"/>
      <c r="D26" s="56"/>
      <c r="E26" s="58"/>
      <c r="F26" s="125"/>
      <c r="G26" s="11">
        <f t="shared" si="8"/>
        <v>39</v>
      </c>
      <c r="H26" s="56"/>
      <c r="I26" s="56"/>
      <c r="J26" s="56"/>
      <c r="K26" s="58"/>
      <c r="L26" s="58"/>
    </row>
    <row r="27" spans="1:12" ht="20.45" customHeight="1" x14ac:dyDescent="0.3">
      <c r="A27" s="10">
        <f t="shared" si="7"/>
        <v>10</v>
      </c>
      <c r="B27" s="56"/>
      <c r="C27" s="56"/>
      <c r="D27" s="56"/>
      <c r="E27" s="58"/>
      <c r="F27" s="125"/>
      <c r="G27" s="11">
        <f t="shared" si="8"/>
        <v>40</v>
      </c>
      <c r="H27" s="56"/>
      <c r="I27" s="56"/>
      <c r="J27" s="93"/>
      <c r="K27" s="58"/>
      <c r="L27" s="61"/>
    </row>
    <row r="28" spans="1:12" ht="20.45" customHeight="1" x14ac:dyDescent="0.3">
      <c r="A28" s="10">
        <f t="shared" si="7"/>
        <v>11</v>
      </c>
      <c r="B28" s="56"/>
      <c r="C28" s="56"/>
      <c r="D28" s="56"/>
      <c r="E28" s="58"/>
      <c r="F28" s="116"/>
      <c r="G28" s="11">
        <f t="shared" si="8"/>
        <v>41</v>
      </c>
      <c r="H28" s="56"/>
      <c r="I28" s="56"/>
      <c r="J28" s="93"/>
      <c r="K28" s="58"/>
      <c r="L28" s="61"/>
    </row>
    <row r="29" spans="1:12" ht="20.45" customHeight="1" x14ac:dyDescent="0.3">
      <c r="A29" s="10">
        <f t="shared" si="7"/>
        <v>12</v>
      </c>
      <c r="B29" s="56"/>
      <c r="C29" s="56"/>
      <c r="D29" s="56"/>
      <c r="E29" s="58"/>
      <c r="F29" s="116"/>
      <c r="G29" s="11">
        <f t="shared" si="8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7"/>
        <v>13</v>
      </c>
      <c r="B30" s="56"/>
      <c r="C30" s="56"/>
      <c r="D30" s="56"/>
      <c r="E30" s="58"/>
      <c r="F30" s="116"/>
      <c r="G30" s="11">
        <f t="shared" si="8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7"/>
        <v>14</v>
      </c>
      <c r="B31" s="44"/>
      <c r="C31" s="44"/>
      <c r="D31" s="44"/>
      <c r="E31" s="46"/>
      <c r="F31" s="45"/>
      <c r="G31" s="11">
        <f t="shared" si="8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11">
        <f t="shared" si="8"/>
        <v>45</v>
      </c>
      <c r="H32" s="56"/>
      <c r="I32" s="56"/>
      <c r="J32" s="56"/>
      <c r="K32" s="58"/>
      <c r="L32" s="58"/>
    </row>
    <row r="33" spans="1:12" ht="20.45" customHeight="1" x14ac:dyDescent="0.3">
      <c r="A33" s="10">
        <f t="shared" ref="A33:A47" si="9">A32+1</f>
        <v>16</v>
      </c>
      <c r="B33" s="56"/>
      <c r="C33" s="56"/>
      <c r="D33" s="56"/>
      <c r="E33" s="58"/>
      <c r="F33" s="61"/>
      <c r="G33" s="11">
        <f t="shared" si="8"/>
        <v>46</v>
      </c>
      <c r="H33" s="56"/>
      <c r="I33" s="56"/>
      <c r="J33" s="93"/>
      <c r="K33" s="58"/>
      <c r="L33" s="61"/>
    </row>
    <row r="34" spans="1:12" ht="20.45" customHeight="1" x14ac:dyDescent="0.3">
      <c r="A34" s="10">
        <f t="shared" si="9"/>
        <v>17</v>
      </c>
      <c r="B34" s="44"/>
      <c r="C34" s="56"/>
      <c r="D34" s="44"/>
      <c r="E34" s="46"/>
      <c r="F34" s="61"/>
      <c r="G34" s="11">
        <f t="shared" si="8"/>
        <v>47</v>
      </c>
      <c r="H34" s="56"/>
      <c r="I34" s="56"/>
      <c r="J34" s="93"/>
      <c r="K34" s="58"/>
      <c r="L34" s="61"/>
    </row>
    <row r="35" spans="1:12" ht="20.45" customHeight="1" x14ac:dyDescent="0.3">
      <c r="A35" s="10">
        <f t="shared" si="9"/>
        <v>18</v>
      </c>
      <c r="B35" s="44"/>
      <c r="C35" s="56"/>
      <c r="D35" s="44"/>
      <c r="E35" s="46"/>
      <c r="F35" s="61"/>
      <c r="G35" s="11">
        <f t="shared" si="8"/>
        <v>48</v>
      </c>
      <c r="H35" s="56"/>
      <c r="I35" s="56"/>
      <c r="J35" s="93"/>
      <c r="K35" s="58"/>
      <c r="L35" s="61"/>
    </row>
    <row r="36" spans="1:12" ht="20.45" customHeight="1" x14ac:dyDescent="0.3">
      <c r="A36" s="10">
        <f t="shared" si="9"/>
        <v>19</v>
      </c>
      <c r="B36" s="44"/>
      <c r="C36" s="56"/>
      <c r="D36" s="44"/>
      <c r="E36" s="46"/>
      <c r="F36" s="45"/>
      <c r="G36" s="11">
        <f t="shared" si="8"/>
        <v>49</v>
      </c>
      <c r="H36" s="56"/>
      <c r="I36" s="56"/>
      <c r="J36" s="93"/>
      <c r="K36" s="58"/>
      <c r="L36" s="61"/>
    </row>
    <row r="37" spans="1:12" ht="20.45" customHeight="1" x14ac:dyDescent="0.3">
      <c r="A37" s="10">
        <f t="shared" si="9"/>
        <v>20</v>
      </c>
      <c r="B37" s="44"/>
      <c r="C37" s="56"/>
      <c r="D37" s="44"/>
      <c r="E37" s="46"/>
      <c r="F37" s="45"/>
      <c r="G37" s="11">
        <f t="shared" si="8"/>
        <v>50</v>
      </c>
      <c r="H37" s="56"/>
      <c r="I37" s="56"/>
      <c r="J37" s="93"/>
      <c r="K37" s="58"/>
      <c r="L37" s="61"/>
    </row>
    <row r="38" spans="1:12" ht="20.45" customHeight="1" x14ac:dyDescent="0.3">
      <c r="A38" s="10">
        <f t="shared" si="9"/>
        <v>21</v>
      </c>
      <c r="B38" s="56"/>
      <c r="C38" s="56"/>
      <c r="D38" s="56"/>
      <c r="E38" s="46"/>
      <c r="F38" s="45"/>
      <c r="G38" s="11">
        <f t="shared" si="8"/>
        <v>51</v>
      </c>
      <c r="H38" s="56"/>
      <c r="I38" s="56"/>
      <c r="J38" s="93"/>
      <c r="K38" s="58"/>
      <c r="L38" s="61"/>
    </row>
    <row r="39" spans="1:12" ht="20.45" customHeight="1" x14ac:dyDescent="0.3">
      <c r="A39" s="10">
        <f t="shared" si="9"/>
        <v>22</v>
      </c>
      <c r="B39" s="56"/>
      <c r="C39" s="56"/>
      <c r="D39" s="56"/>
      <c r="E39" s="46"/>
      <c r="F39" s="45"/>
      <c r="G39" s="11">
        <f t="shared" si="8"/>
        <v>52</v>
      </c>
      <c r="H39" s="56"/>
      <c r="I39" s="56"/>
      <c r="J39" s="93"/>
      <c r="K39" s="58"/>
      <c r="L39" s="61"/>
    </row>
    <row r="40" spans="1:12" ht="20.45" customHeight="1" x14ac:dyDescent="0.3">
      <c r="A40" s="10">
        <f t="shared" si="9"/>
        <v>23</v>
      </c>
      <c r="B40" s="56"/>
      <c r="C40" s="56"/>
      <c r="D40" s="56"/>
      <c r="E40" s="58"/>
      <c r="F40" s="61"/>
      <c r="G40" s="11">
        <f t="shared" si="8"/>
        <v>53</v>
      </c>
      <c r="H40" s="56"/>
      <c r="I40" s="56"/>
      <c r="J40" s="93"/>
      <c r="K40" s="58"/>
      <c r="L40" s="61"/>
    </row>
    <row r="41" spans="1:12" ht="20.45" customHeight="1" x14ac:dyDescent="0.3">
      <c r="A41" s="10">
        <f t="shared" si="9"/>
        <v>24</v>
      </c>
      <c r="B41" s="56"/>
      <c r="C41" s="56"/>
      <c r="D41" s="56"/>
      <c r="E41" s="58"/>
      <c r="F41" s="116"/>
      <c r="G41" s="11">
        <f t="shared" si="8"/>
        <v>54</v>
      </c>
      <c r="H41" s="56"/>
      <c r="I41" s="56"/>
      <c r="J41" s="93"/>
      <c r="K41" s="58"/>
      <c r="L41" s="61"/>
    </row>
    <row r="42" spans="1:12" ht="20.45" customHeight="1" x14ac:dyDescent="0.3">
      <c r="A42" s="10">
        <f t="shared" si="9"/>
        <v>25</v>
      </c>
      <c r="B42" s="56"/>
      <c r="C42" s="56"/>
      <c r="D42" s="56"/>
      <c r="E42" s="58"/>
      <c r="F42" s="58"/>
      <c r="G42" s="11">
        <f t="shared" si="8"/>
        <v>55</v>
      </c>
      <c r="H42" s="56"/>
      <c r="I42" s="56"/>
      <c r="J42" s="93"/>
      <c r="K42" s="58"/>
      <c r="L42" s="61"/>
    </row>
    <row r="43" spans="1:12" ht="20.45" customHeight="1" x14ac:dyDescent="0.3">
      <c r="A43" s="10">
        <f t="shared" si="9"/>
        <v>26</v>
      </c>
      <c r="B43" s="56"/>
      <c r="C43" s="56"/>
      <c r="D43" s="56"/>
      <c r="E43" s="58"/>
      <c r="F43" s="58"/>
      <c r="G43" s="11">
        <f t="shared" si="8"/>
        <v>56</v>
      </c>
      <c r="H43" s="56"/>
      <c r="I43" s="56"/>
      <c r="J43" s="93"/>
      <c r="K43" s="58"/>
      <c r="L43" s="61"/>
    </row>
    <row r="44" spans="1:12" ht="20.45" customHeight="1" x14ac:dyDescent="0.3">
      <c r="A44" s="10">
        <f t="shared" si="9"/>
        <v>27</v>
      </c>
      <c r="B44" s="56"/>
      <c r="C44" s="56"/>
      <c r="D44" s="56"/>
      <c r="E44" s="58"/>
      <c r="F44" s="61"/>
      <c r="G44" s="11">
        <f t="shared" si="8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9"/>
        <v>28</v>
      </c>
      <c r="B45" s="56"/>
      <c r="C45" s="56"/>
      <c r="D45" s="56"/>
      <c r="E45" s="58"/>
      <c r="F45" s="58"/>
      <c r="G45" s="11">
        <f t="shared" si="8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9"/>
        <v>29</v>
      </c>
      <c r="B46" s="56"/>
      <c r="C46" s="56"/>
      <c r="D46" s="56"/>
      <c r="E46" s="58"/>
      <c r="F46" s="61"/>
      <c r="G46" s="11">
        <f t="shared" si="8"/>
        <v>59</v>
      </c>
      <c r="H46" s="44"/>
      <c r="I46" s="44"/>
      <c r="J46" s="44"/>
      <c r="K46" s="46"/>
      <c r="L46" s="45"/>
    </row>
    <row r="47" spans="1:12" ht="20.45" customHeight="1" x14ac:dyDescent="0.3">
      <c r="A47" s="10">
        <f t="shared" si="9"/>
        <v>30</v>
      </c>
      <c r="B47" s="112"/>
      <c r="C47" s="112"/>
      <c r="D47" s="112"/>
      <c r="E47" s="113"/>
      <c r="F47" s="115"/>
      <c r="G47" s="11">
        <f t="shared" si="8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1:F38">
    <sortCondition ref="E32:E38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6740C-7AAF-4560-A738-635A13B80D7D}">
  <sheetPr codeName="Sheet22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'261020'!C5:F5+1</f>
        <v>46316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'261020'!F8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'261020'!L8</f>
        <v>0</v>
      </c>
      <c r="L8" s="42">
        <f t="shared" ref="L8:L14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'261020'!F9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'261020'!L9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'261020'!F10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'261020'!L10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'261020'!F11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'261020'!L11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'261020'!F12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'261020'!L12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'261020'!F13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'261020'!L13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'261020'!F14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'261020'!L14</f>
        <v>0</v>
      </c>
      <c r="L14" s="40">
        <f t="shared" si="3"/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60"/>
      <c r="I18" s="60"/>
      <c r="J18" s="60"/>
      <c r="K18" s="57"/>
      <c r="L18" s="128"/>
    </row>
    <row r="19" spans="1:12" ht="20.45" customHeight="1" x14ac:dyDescent="0.3">
      <c r="A19" s="10">
        <f t="shared" ref="A19:A31" si="7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7"/>
        <v>3</v>
      </c>
      <c r="B20" s="56"/>
      <c r="C20" s="56"/>
      <c r="D20" s="56"/>
      <c r="E20" s="58"/>
      <c r="F20" s="125"/>
      <c r="G20" s="11">
        <f t="shared" ref="G20:G47" si="8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7"/>
        <v>4</v>
      </c>
      <c r="B21" s="56"/>
      <c r="C21" s="56"/>
      <c r="D21" s="56"/>
      <c r="E21" s="58"/>
      <c r="F21" s="58"/>
      <c r="G21" s="11">
        <f t="shared" si="8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7"/>
        <v>5</v>
      </c>
      <c r="B22" s="56"/>
      <c r="C22" s="56"/>
      <c r="D22" s="56"/>
      <c r="E22" s="58"/>
      <c r="F22" s="58"/>
      <c r="G22" s="11">
        <f t="shared" si="8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7"/>
        <v>6</v>
      </c>
      <c r="B23" s="56"/>
      <c r="C23" s="56"/>
      <c r="D23" s="56"/>
      <c r="E23" s="58"/>
      <c r="F23" s="58"/>
      <c r="G23" s="11">
        <f t="shared" si="8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7"/>
        <v>7</v>
      </c>
      <c r="B24" s="56"/>
      <c r="C24" s="56"/>
      <c r="D24" s="56"/>
      <c r="E24" s="58"/>
      <c r="F24" s="58"/>
      <c r="G24" s="11">
        <f t="shared" si="8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7"/>
        <v>8</v>
      </c>
      <c r="B25" s="56"/>
      <c r="C25" s="56"/>
      <c r="D25" s="56"/>
      <c r="E25" s="58"/>
      <c r="F25" s="58"/>
      <c r="G25" s="11">
        <f t="shared" si="8"/>
        <v>38</v>
      </c>
      <c r="H25" s="56"/>
      <c r="I25" s="56"/>
      <c r="J25" s="56"/>
      <c r="K25" s="58"/>
      <c r="L25" s="116"/>
    </row>
    <row r="26" spans="1:12" ht="20.45" customHeight="1" x14ac:dyDescent="0.3">
      <c r="A26" s="10">
        <f t="shared" si="7"/>
        <v>9</v>
      </c>
      <c r="B26" s="56"/>
      <c r="C26" s="56"/>
      <c r="D26" s="56"/>
      <c r="E26" s="58"/>
      <c r="F26" s="125"/>
      <c r="G26" s="11">
        <f t="shared" si="8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7"/>
        <v>10</v>
      </c>
      <c r="B27" s="56"/>
      <c r="C27" s="56"/>
      <c r="D27" s="56"/>
      <c r="E27" s="58"/>
      <c r="F27" s="125"/>
      <c r="G27" s="11">
        <f t="shared" si="8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7"/>
        <v>11</v>
      </c>
      <c r="B28" s="59"/>
      <c r="C28" s="59"/>
      <c r="D28" s="59"/>
      <c r="E28" s="119"/>
      <c r="F28" s="120"/>
      <c r="G28" s="11">
        <f t="shared" si="8"/>
        <v>41</v>
      </c>
      <c r="H28" s="56"/>
      <c r="I28" s="56"/>
      <c r="J28" s="93"/>
      <c r="K28" s="58"/>
      <c r="L28" s="61"/>
    </row>
    <row r="29" spans="1:12" ht="20.45" customHeight="1" x14ac:dyDescent="0.3">
      <c r="A29" s="10">
        <f t="shared" si="7"/>
        <v>12</v>
      </c>
      <c r="B29" s="56"/>
      <c r="C29" s="56"/>
      <c r="D29" s="56"/>
      <c r="E29" s="119"/>
      <c r="F29" s="120"/>
      <c r="G29" s="11">
        <f t="shared" si="8"/>
        <v>42</v>
      </c>
      <c r="H29" s="56"/>
      <c r="I29" s="56"/>
      <c r="J29" s="93"/>
      <c r="K29" s="58"/>
      <c r="L29" s="61"/>
    </row>
    <row r="30" spans="1:12" ht="20.45" customHeight="1" x14ac:dyDescent="0.3">
      <c r="A30" s="10">
        <f t="shared" si="7"/>
        <v>13</v>
      </c>
      <c r="B30" s="56"/>
      <c r="C30" s="56"/>
      <c r="D30" s="56"/>
      <c r="E30" s="58"/>
      <c r="F30" s="120"/>
      <c r="G30" s="11">
        <f t="shared" si="8"/>
        <v>43</v>
      </c>
      <c r="H30" s="56"/>
      <c r="I30" s="56"/>
      <c r="J30" s="93"/>
      <c r="K30" s="58"/>
      <c r="L30" s="61"/>
    </row>
    <row r="31" spans="1:12" ht="20.45" customHeight="1" x14ac:dyDescent="0.3">
      <c r="A31" s="10">
        <f t="shared" si="7"/>
        <v>14</v>
      </c>
      <c r="B31" s="56"/>
      <c r="C31" s="56"/>
      <c r="D31" s="56"/>
      <c r="E31" s="58"/>
      <c r="F31" s="120"/>
      <c r="G31" s="11">
        <f t="shared" si="8"/>
        <v>44</v>
      </c>
      <c r="H31" s="56"/>
      <c r="I31" s="56"/>
      <c r="J31" s="93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61"/>
      <c r="G32" s="11">
        <f t="shared" si="8"/>
        <v>45</v>
      </c>
      <c r="H32" s="56"/>
      <c r="I32" s="56"/>
      <c r="J32" s="93"/>
      <c r="K32" s="58"/>
      <c r="L32" s="61"/>
    </row>
    <row r="33" spans="1:12" ht="20.45" customHeight="1" x14ac:dyDescent="0.3">
      <c r="A33" s="10">
        <f t="shared" ref="A33:A47" si="9">A32+1</f>
        <v>16</v>
      </c>
      <c r="B33" s="59"/>
      <c r="C33" s="59"/>
      <c r="D33" s="59"/>
      <c r="E33" s="58"/>
      <c r="F33" s="125"/>
      <c r="G33" s="11">
        <f t="shared" si="8"/>
        <v>46</v>
      </c>
      <c r="H33" s="56"/>
      <c r="I33" s="56"/>
      <c r="J33" s="93"/>
      <c r="K33" s="58"/>
      <c r="L33" s="61"/>
    </row>
    <row r="34" spans="1:12" ht="20.45" customHeight="1" x14ac:dyDescent="0.3">
      <c r="A34" s="10">
        <f t="shared" si="9"/>
        <v>17</v>
      </c>
      <c r="B34" s="56"/>
      <c r="C34" s="56"/>
      <c r="D34" s="56"/>
      <c r="E34" s="58"/>
      <c r="F34" s="61"/>
      <c r="G34" s="11">
        <f t="shared" si="8"/>
        <v>47</v>
      </c>
      <c r="H34" s="56"/>
      <c r="I34" s="56"/>
      <c r="J34" s="93"/>
      <c r="K34" s="58"/>
      <c r="L34" s="61"/>
    </row>
    <row r="35" spans="1:12" ht="20.45" customHeight="1" x14ac:dyDescent="0.3">
      <c r="A35" s="10">
        <f t="shared" si="9"/>
        <v>18</v>
      </c>
      <c r="B35" s="44"/>
      <c r="C35" s="56"/>
      <c r="D35" s="44"/>
      <c r="E35" s="46"/>
      <c r="F35" s="61"/>
      <c r="G35" s="11">
        <f t="shared" si="8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9"/>
        <v>19</v>
      </c>
      <c r="B36" s="44"/>
      <c r="C36" s="56"/>
      <c r="D36" s="44"/>
      <c r="E36" s="46"/>
      <c r="F36" s="61"/>
      <c r="G36" s="11">
        <f t="shared" si="8"/>
        <v>49</v>
      </c>
      <c r="H36" s="56"/>
      <c r="I36" s="56"/>
      <c r="J36" s="56"/>
      <c r="K36" s="58"/>
      <c r="L36" s="61"/>
    </row>
    <row r="37" spans="1:12" ht="20.45" customHeight="1" x14ac:dyDescent="0.3">
      <c r="A37" s="10">
        <f t="shared" si="9"/>
        <v>20</v>
      </c>
      <c r="B37" s="44"/>
      <c r="C37" s="56"/>
      <c r="D37" s="44"/>
      <c r="E37" s="46"/>
      <c r="F37" s="45"/>
      <c r="G37" s="11">
        <f t="shared" si="8"/>
        <v>50</v>
      </c>
      <c r="H37" s="56"/>
      <c r="I37" s="56"/>
      <c r="J37" s="56"/>
      <c r="K37" s="58"/>
      <c r="L37" s="61"/>
    </row>
    <row r="38" spans="1:12" ht="20.45" customHeight="1" x14ac:dyDescent="0.3">
      <c r="A38" s="10">
        <f t="shared" si="9"/>
        <v>21</v>
      </c>
      <c r="B38" s="44"/>
      <c r="C38" s="56"/>
      <c r="D38" s="44"/>
      <c r="E38" s="46"/>
      <c r="F38" s="45"/>
      <c r="G38" s="11">
        <f t="shared" si="8"/>
        <v>51</v>
      </c>
      <c r="H38" s="56"/>
      <c r="I38" s="56"/>
      <c r="J38" s="56"/>
      <c r="K38" s="58"/>
      <c r="L38" s="61"/>
    </row>
    <row r="39" spans="1:12" ht="20.45" customHeight="1" x14ac:dyDescent="0.3">
      <c r="A39" s="10">
        <f t="shared" si="9"/>
        <v>22</v>
      </c>
      <c r="B39" s="56"/>
      <c r="C39" s="56"/>
      <c r="D39" s="56"/>
      <c r="E39" s="46"/>
      <c r="F39" s="45"/>
      <c r="G39" s="11">
        <f t="shared" si="8"/>
        <v>52</v>
      </c>
      <c r="H39" s="56"/>
      <c r="I39" s="56"/>
      <c r="J39" s="93"/>
      <c r="K39" s="58"/>
      <c r="L39" s="61"/>
    </row>
    <row r="40" spans="1:12" ht="20.45" customHeight="1" x14ac:dyDescent="0.3">
      <c r="A40" s="10">
        <f t="shared" si="9"/>
        <v>23</v>
      </c>
      <c r="B40" s="56"/>
      <c r="C40" s="56"/>
      <c r="D40" s="56"/>
      <c r="E40" s="46"/>
      <c r="F40" s="45"/>
      <c r="G40" s="11">
        <f t="shared" si="8"/>
        <v>53</v>
      </c>
      <c r="H40" s="56"/>
      <c r="I40" s="56"/>
      <c r="J40" s="93"/>
      <c r="K40" s="58"/>
      <c r="L40" s="61"/>
    </row>
    <row r="41" spans="1:12" ht="20.45" customHeight="1" x14ac:dyDescent="0.3">
      <c r="A41" s="10">
        <f t="shared" si="9"/>
        <v>24</v>
      </c>
      <c r="B41" s="56"/>
      <c r="C41" s="56"/>
      <c r="D41" s="56"/>
      <c r="E41" s="46"/>
      <c r="F41" s="45"/>
      <c r="G41" s="11">
        <f t="shared" si="8"/>
        <v>54</v>
      </c>
      <c r="H41" s="56"/>
      <c r="I41" s="56"/>
      <c r="J41" s="93"/>
      <c r="K41" s="58"/>
      <c r="L41" s="61"/>
    </row>
    <row r="42" spans="1:12" ht="20.45" customHeight="1" x14ac:dyDescent="0.3">
      <c r="A42" s="10">
        <f t="shared" si="9"/>
        <v>25</v>
      </c>
      <c r="B42" s="56"/>
      <c r="C42" s="56"/>
      <c r="D42" s="56"/>
      <c r="E42" s="46"/>
      <c r="F42" s="45"/>
      <c r="G42" s="11">
        <f t="shared" si="8"/>
        <v>55</v>
      </c>
      <c r="H42" s="56"/>
      <c r="I42" s="56"/>
      <c r="J42" s="93"/>
      <c r="K42" s="58"/>
      <c r="L42" s="61"/>
    </row>
    <row r="43" spans="1:12" ht="20.45" customHeight="1" x14ac:dyDescent="0.3">
      <c r="A43" s="10">
        <f t="shared" si="9"/>
        <v>26</v>
      </c>
      <c r="B43" s="56"/>
      <c r="C43" s="56"/>
      <c r="D43" s="56"/>
      <c r="E43" s="58"/>
      <c r="F43" s="61"/>
      <c r="G43" s="11">
        <f t="shared" si="8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9"/>
        <v>27</v>
      </c>
      <c r="B44" s="56"/>
      <c r="C44" s="56"/>
      <c r="D44" s="56"/>
      <c r="E44" s="58"/>
      <c r="F44" s="61"/>
      <c r="G44" s="11">
        <f t="shared" si="8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9"/>
        <v>28</v>
      </c>
      <c r="B45" s="56"/>
      <c r="C45" s="56"/>
      <c r="D45" s="56"/>
      <c r="E45" s="58"/>
      <c r="F45" s="61"/>
      <c r="G45" s="11">
        <f t="shared" si="8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9"/>
        <v>29</v>
      </c>
      <c r="B46" s="56"/>
      <c r="C46" s="56"/>
      <c r="D46" s="56"/>
      <c r="E46" s="58"/>
      <c r="F46" s="61"/>
      <c r="G46" s="11">
        <f t="shared" si="8"/>
        <v>59</v>
      </c>
      <c r="H46" s="44"/>
      <c r="I46" s="44"/>
      <c r="J46" s="44"/>
      <c r="K46" s="46"/>
      <c r="L46" s="45"/>
    </row>
    <row r="47" spans="1:12" ht="20.45" customHeight="1" x14ac:dyDescent="0.3">
      <c r="A47" s="117">
        <f t="shared" si="9"/>
        <v>30</v>
      </c>
      <c r="B47" s="112"/>
      <c r="C47" s="112"/>
      <c r="D47" s="112"/>
      <c r="E47" s="113"/>
      <c r="F47" s="115"/>
      <c r="G47" s="121">
        <f t="shared" si="8"/>
        <v>60</v>
      </c>
      <c r="H47" s="122"/>
      <c r="I47" s="122"/>
      <c r="J47" s="122"/>
      <c r="K47" s="123"/>
      <c r="L47" s="124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7:F44">
    <sortCondition ref="E37:E44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D8D00-58E0-410E-94C8-2734B08675B0}">
  <sheetPr codeName="Sheet23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'261021'!C5:F5+1</f>
        <v>46317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'261021'!F8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'261021'!L8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'261021'!F9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'261021'!L9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'261021'!F10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'261021'!L10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'261021'!F11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'261021'!L11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'261021'!F12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'261021'!L12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'261021'!F13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'261021'!L13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'261021'!F14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'261021'!L14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90">
        <v>31</v>
      </c>
      <c r="H18" s="60"/>
      <c r="I18" s="60"/>
      <c r="J18" s="60"/>
      <c r="K18" s="57"/>
      <c r="L18" s="128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92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125"/>
      <c r="G20" s="92">
        <f t="shared" ref="G20:G47" si="9">G19+1</f>
        <v>33</v>
      </c>
      <c r="H20" s="126"/>
      <c r="I20" s="126"/>
      <c r="J20" s="126"/>
      <c r="K20" s="127"/>
      <c r="L20" s="129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58"/>
      <c r="G21" s="92">
        <f t="shared" si="9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58"/>
      <c r="G22" s="92">
        <f t="shared" si="9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58"/>
      <c r="G23" s="92">
        <f t="shared" si="9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58"/>
      <c r="G24" s="92">
        <f t="shared" si="9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58"/>
      <c r="G25" s="92">
        <f t="shared" si="9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8"/>
        <v>9</v>
      </c>
      <c r="B26" s="56"/>
      <c r="C26" s="56"/>
      <c r="D26" s="56"/>
      <c r="E26" s="58"/>
      <c r="F26" s="125"/>
      <c r="G26" s="92">
        <f t="shared" si="9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8"/>
        <v>10</v>
      </c>
      <c r="B27" s="56"/>
      <c r="C27" s="56"/>
      <c r="D27" s="56"/>
      <c r="E27" s="58"/>
      <c r="F27" s="125"/>
      <c r="G27" s="92">
        <f t="shared" si="9"/>
        <v>40</v>
      </c>
      <c r="H27" s="56"/>
      <c r="I27" s="56"/>
      <c r="J27" s="93"/>
      <c r="K27" s="58"/>
      <c r="L27" s="61"/>
    </row>
    <row r="28" spans="1:12" ht="20.45" customHeight="1" x14ac:dyDescent="0.3">
      <c r="A28" s="10">
        <f t="shared" si="8"/>
        <v>11</v>
      </c>
      <c r="B28" s="59"/>
      <c r="C28" s="59"/>
      <c r="D28" s="59"/>
      <c r="E28" s="119"/>
      <c r="F28" s="120"/>
      <c r="G28" s="92">
        <f t="shared" si="9"/>
        <v>41</v>
      </c>
      <c r="H28" s="56"/>
      <c r="I28" s="56"/>
      <c r="J28" s="93"/>
      <c r="K28" s="58"/>
      <c r="L28" s="61"/>
    </row>
    <row r="29" spans="1:12" ht="20.45" customHeight="1" x14ac:dyDescent="0.3">
      <c r="A29" s="10">
        <f t="shared" si="8"/>
        <v>12</v>
      </c>
      <c r="B29" s="56"/>
      <c r="C29" s="56"/>
      <c r="D29" s="56"/>
      <c r="E29" s="119"/>
      <c r="F29" s="120"/>
      <c r="G29" s="92">
        <f t="shared" si="9"/>
        <v>42</v>
      </c>
      <c r="H29" s="56"/>
      <c r="I29" s="56"/>
      <c r="J29" s="93"/>
      <c r="K29" s="58"/>
      <c r="L29" s="61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120"/>
      <c r="G30" s="92">
        <f t="shared" si="9"/>
        <v>43</v>
      </c>
      <c r="H30" s="56"/>
      <c r="I30" s="56"/>
      <c r="J30" s="93"/>
      <c r="K30" s="58"/>
      <c r="L30" s="61"/>
    </row>
    <row r="31" spans="1:12" ht="20.45" customHeight="1" x14ac:dyDescent="0.3">
      <c r="A31" s="10">
        <f t="shared" si="8"/>
        <v>14</v>
      </c>
      <c r="B31" s="56"/>
      <c r="C31" s="56"/>
      <c r="D31" s="56"/>
      <c r="E31" s="58"/>
      <c r="F31" s="120"/>
      <c r="G31" s="92">
        <f t="shared" si="9"/>
        <v>44</v>
      </c>
      <c r="H31" s="56"/>
      <c r="I31" s="56"/>
      <c r="J31" s="93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61"/>
      <c r="G32" s="92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0">A32+1</f>
        <v>16</v>
      </c>
      <c r="B33" s="59"/>
      <c r="C33" s="59"/>
      <c r="D33" s="59"/>
      <c r="E33" s="58"/>
      <c r="F33" s="125"/>
      <c r="G33" s="92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56"/>
      <c r="C34" s="56"/>
      <c r="D34" s="56"/>
      <c r="E34" s="58"/>
      <c r="F34" s="61"/>
      <c r="G34" s="92">
        <f t="shared" si="9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10"/>
        <v>18</v>
      </c>
      <c r="B35" s="44"/>
      <c r="C35" s="56"/>
      <c r="D35" s="44"/>
      <c r="E35" s="46"/>
      <c r="F35" s="61"/>
      <c r="G35" s="92">
        <f t="shared" si="9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10"/>
        <v>19</v>
      </c>
      <c r="B36" s="44"/>
      <c r="C36" s="56"/>
      <c r="D36" s="44"/>
      <c r="E36" s="46"/>
      <c r="F36" s="61"/>
      <c r="G36" s="92">
        <f t="shared" si="9"/>
        <v>49</v>
      </c>
      <c r="H36" s="56"/>
      <c r="I36" s="56"/>
      <c r="J36" s="56"/>
      <c r="K36" s="58"/>
      <c r="L36" s="61"/>
    </row>
    <row r="37" spans="1:12" ht="20.45" customHeight="1" x14ac:dyDescent="0.3">
      <c r="A37" s="10">
        <f t="shared" si="10"/>
        <v>20</v>
      </c>
      <c r="B37" s="44"/>
      <c r="C37" s="56"/>
      <c r="D37" s="44"/>
      <c r="E37" s="46"/>
      <c r="F37" s="45"/>
      <c r="G37" s="92">
        <f t="shared" si="9"/>
        <v>50</v>
      </c>
      <c r="H37" s="56"/>
      <c r="I37" s="56"/>
      <c r="J37" s="56"/>
      <c r="K37" s="58"/>
      <c r="L37" s="61"/>
    </row>
    <row r="38" spans="1:12" ht="20.45" customHeight="1" x14ac:dyDescent="0.3">
      <c r="A38" s="10">
        <f t="shared" si="10"/>
        <v>21</v>
      </c>
      <c r="B38" s="44"/>
      <c r="C38" s="56"/>
      <c r="D38" s="44"/>
      <c r="E38" s="46"/>
      <c r="F38" s="45"/>
      <c r="G38" s="92">
        <f t="shared" si="9"/>
        <v>51</v>
      </c>
      <c r="H38" s="56"/>
      <c r="I38" s="56"/>
      <c r="J38" s="56"/>
      <c r="K38" s="58"/>
      <c r="L38" s="61"/>
    </row>
    <row r="39" spans="1:12" ht="20.45" customHeight="1" x14ac:dyDescent="0.3">
      <c r="A39" s="10">
        <f t="shared" si="10"/>
        <v>22</v>
      </c>
      <c r="B39" s="56"/>
      <c r="C39" s="56"/>
      <c r="D39" s="56"/>
      <c r="E39" s="46"/>
      <c r="F39" s="45"/>
      <c r="G39" s="92">
        <f t="shared" si="9"/>
        <v>52</v>
      </c>
      <c r="H39" s="56"/>
      <c r="I39" s="56"/>
      <c r="J39" s="56"/>
      <c r="K39" s="58"/>
      <c r="L39" s="61"/>
    </row>
    <row r="40" spans="1:12" ht="20.45" customHeight="1" x14ac:dyDescent="0.3">
      <c r="A40" s="10">
        <f t="shared" si="10"/>
        <v>23</v>
      </c>
      <c r="B40" s="56"/>
      <c r="C40" s="56"/>
      <c r="D40" s="56"/>
      <c r="E40" s="46"/>
      <c r="F40" s="45"/>
      <c r="G40" s="92">
        <f t="shared" si="9"/>
        <v>53</v>
      </c>
      <c r="H40" s="56"/>
      <c r="I40" s="56"/>
      <c r="J40" s="56"/>
      <c r="K40" s="58"/>
      <c r="L40" s="61"/>
    </row>
    <row r="41" spans="1:12" ht="20.45" customHeight="1" x14ac:dyDescent="0.3">
      <c r="A41" s="10">
        <f t="shared" si="10"/>
        <v>24</v>
      </c>
      <c r="B41" s="56"/>
      <c r="C41" s="44"/>
      <c r="D41" s="56"/>
      <c r="E41" s="58"/>
      <c r="F41" s="116"/>
      <c r="G41" s="92">
        <f t="shared" si="9"/>
        <v>54</v>
      </c>
      <c r="H41" s="56"/>
      <c r="I41" s="56"/>
      <c r="J41" s="56"/>
      <c r="K41" s="58"/>
      <c r="L41" s="61"/>
    </row>
    <row r="42" spans="1:12" ht="20.45" customHeight="1" x14ac:dyDescent="0.3">
      <c r="A42" s="10">
        <f t="shared" si="10"/>
        <v>25</v>
      </c>
      <c r="B42" s="56"/>
      <c r="C42" s="44"/>
      <c r="D42" s="56"/>
      <c r="E42" s="58"/>
      <c r="F42" s="58"/>
      <c r="G42" s="92">
        <f t="shared" si="9"/>
        <v>55</v>
      </c>
      <c r="H42" s="56"/>
      <c r="I42" s="56"/>
      <c r="J42" s="56"/>
      <c r="K42" s="58"/>
      <c r="L42" s="61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58"/>
      <c r="G43" s="92">
        <f t="shared" si="9"/>
        <v>56</v>
      </c>
      <c r="H43" s="56"/>
      <c r="I43" s="56"/>
      <c r="J43" s="56"/>
      <c r="K43" s="58"/>
      <c r="L43" s="61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61"/>
      <c r="G44" s="92">
        <f t="shared" si="9"/>
        <v>57</v>
      </c>
      <c r="H44" s="56"/>
      <c r="I44" s="56"/>
      <c r="J44" s="56"/>
      <c r="K44" s="58"/>
      <c r="L44" s="61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116"/>
      <c r="G45" s="92">
        <f t="shared" si="9"/>
        <v>58</v>
      </c>
      <c r="H45" s="56"/>
      <c r="I45" s="56"/>
      <c r="J45" s="56"/>
      <c r="K45" s="58"/>
      <c r="L45" s="61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61"/>
      <c r="G46" s="92">
        <f t="shared" si="9"/>
        <v>59</v>
      </c>
      <c r="H46" s="56"/>
      <c r="I46" s="56"/>
      <c r="J46" s="56"/>
      <c r="K46" s="58"/>
      <c r="L46" s="61"/>
    </row>
    <row r="47" spans="1:12" ht="20.45" customHeight="1" x14ac:dyDescent="0.3">
      <c r="A47" s="117">
        <f t="shared" si="10"/>
        <v>30</v>
      </c>
      <c r="B47" s="112"/>
      <c r="C47" s="112"/>
      <c r="D47" s="112"/>
      <c r="E47" s="113"/>
      <c r="F47" s="115"/>
      <c r="G47" s="114">
        <f t="shared" si="9"/>
        <v>60</v>
      </c>
      <c r="H47" s="112"/>
      <c r="I47" s="112"/>
      <c r="J47" s="112"/>
      <c r="K47" s="113"/>
      <c r="L47" s="11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41:F45">
    <sortCondition ref="E41:E45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FDA5-4A25-459C-8E2C-6FA3EAC69533}">
  <sheetPr codeName="Sheet24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'261022'!C5:F5+1</f>
        <v>46318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'261022'!F8</f>
        <v>0</v>
      </c>
      <c r="F8" s="42">
        <f t="shared" ref="F8:F13" si="1">C8+E8</f>
        <v>0</v>
      </c>
      <c r="G8" s="7">
        <v>8</v>
      </c>
      <c r="H8" s="74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'261022'!L8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'261022'!F9</f>
        <v>0</v>
      </c>
      <c r="F9" s="34">
        <f t="shared" si="1"/>
        <v>0</v>
      </c>
      <c r="G9" s="8">
        <f>G8+1</f>
        <v>9</v>
      </c>
      <c r="H9" s="80" t="str">
        <f>'261001'!H9</f>
        <v>수장</v>
      </c>
      <c r="I9" s="142">
        <f t="shared" si="2"/>
        <v>0</v>
      </c>
      <c r="J9" s="142"/>
      <c r="K9" s="34">
        <f>'261022'!L9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'261022'!F10</f>
        <v>0</v>
      </c>
      <c r="F10" s="34">
        <f t="shared" si="1"/>
        <v>0</v>
      </c>
      <c r="G10" s="8">
        <f t="shared" ref="G10:G14" si="5">G9+1</f>
        <v>10</v>
      </c>
      <c r="H10" s="80" t="str">
        <f>'261001'!H10</f>
        <v>걸레받이</v>
      </c>
      <c r="I10" s="142">
        <f t="shared" si="2"/>
        <v>0</v>
      </c>
      <c r="J10" s="142"/>
      <c r="K10" s="34">
        <f>'261022'!L10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'261022'!F11</f>
        <v>0</v>
      </c>
      <c r="F11" s="34">
        <f t="shared" si="1"/>
        <v>0</v>
      </c>
      <c r="G11" s="8">
        <f t="shared" si="5"/>
        <v>11</v>
      </c>
      <c r="H11" s="80" t="str">
        <f>'261001'!H11</f>
        <v>아트월</v>
      </c>
      <c r="I11" s="142">
        <f t="shared" si="2"/>
        <v>0</v>
      </c>
      <c r="J11" s="142"/>
      <c r="K11" s="34">
        <f>'261022'!L11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'261022'!F12</f>
        <v>0</v>
      </c>
      <c r="F12" s="34">
        <f t="shared" si="1"/>
        <v>0</v>
      </c>
      <c r="G12" s="8">
        <f t="shared" si="5"/>
        <v>12</v>
      </c>
      <c r="H12" s="80" t="str">
        <f>'261001'!H12</f>
        <v>큐비클</v>
      </c>
      <c r="I12" s="142">
        <f t="shared" si="2"/>
        <v>0</v>
      </c>
      <c r="J12" s="142"/>
      <c r="K12" s="34">
        <f>'261022'!L12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'261022'!F13</f>
        <v>0</v>
      </c>
      <c r="F13" s="34">
        <f t="shared" si="1"/>
        <v>0</v>
      </c>
      <c r="G13" s="8">
        <f t="shared" si="5"/>
        <v>13</v>
      </c>
      <c r="H13" s="80">
        <f>'261001'!H13</f>
        <v>0</v>
      </c>
      <c r="I13" s="142">
        <f t="shared" si="2"/>
        <v>0</v>
      </c>
      <c r="J13" s="142"/>
      <c r="K13" s="34">
        <f>'261022'!L13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'261022'!F14</f>
        <v>0</v>
      </c>
      <c r="F14" s="40">
        <f t="shared" ref="F14" si="6">C14+E14</f>
        <v>0</v>
      </c>
      <c r="G14" s="9">
        <f t="shared" si="5"/>
        <v>14</v>
      </c>
      <c r="H14" s="102">
        <f>'261001'!H14</f>
        <v>0</v>
      </c>
      <c r="I14" s="150">
        <f t="shared" si="2"/>
        <v>0</v>
      </c>
      <c r="J14" s="150"/>
      <c r="K14" s="40">
        <f>'261022'!L14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58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58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125"/>
      <c r="G20" s="11">
        <f t="shared" ref="G20:G47" si="9">G19+1</f>
        <v>33</v>
      </c>
      <c r="H20" s="56"/>
      <c r="I20" s="56"/>
      <c r="J20" s="56"/>
      <c r="K20" s="58"/>
      <c r="L20" s="58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58"/>
      <c r="G21" s="11">
        <f t="shared" si="9"/>
        <v>34</v>
      </c>
      <c r="H21" s="56"/>
      <c r="I21" s="56"/>
      <c r="J21" s="56"/>
      <c r="K21" s="58"/>
      <c r="L21" s="58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58"/>
      <c r="G22" s="11">
        <f t="shared" si="9"/>
        <v>35</v>
      </c>
      <c r="H22" s="56"/>
      <c r="I22" s="56"/>
      <c r="J22" s="56"/>
      <c r="K22" s="58"/>
      <c r="L22" s="58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58"/>
      <c r="G23" s="11">
        <f t="shared" si="9"/>
        <v>36</v>
      </c>
      <c r="H23" s="56"/>
      <c r="I23" s="56"/>
      <c r="J23" s="56"/>
      <c r="K23" s="58"/>
      <c r="L23" s="58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58"/>
      <c r="G24" s="11">
        <f t="shared" si="9"/>
        <v>37</v>
      </c>
      <c r="H24" s="56"/>
      <c r="I24" s="56"/>
      <c r="J24" s="56"/>
      <c r="K24" s="58"/>
      <c r="L24" s="58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58"/>
      <c r="G25" s="11">
        <f t="shared" si="9"/>
        <v>38</v>
      </c>
      <c r="H25" s="56"/>
      <c r="I25" s="56"/>
      <c r="J25" s="56"/>
      <c r="K25" s="58"/>
      <c r="L25" s="58"/>
    </row>
    <row r="26" spans="1:12" ht="20.45" customHeight="1" x14ac:dyDescent="0.3">
      <c r="A26" s="10">
        <f t="shared" si="8"/>
        <v>9</v>
      </c>
      <c r="B26" s="56"/>
      <c r="C26" s="56"/>
      <c r="D26" s="56"/>
      <c r="E26" s="58"/>
      <c r="F26" s="125"/>
      <c r="G26" s="11">
        <f t="shared" si="9"/>
        <v>39</v>
      </c>
      <c r="H26" s="56"/>
      <c r="I26" s="56"/>
      <c r="J26" s="56"/>
      <c r="K26" s="58"/>
      <c r="L26" s="58"/>
    </row>
    <row r="27" spans="1:12" ht="20.45" customHeight="1" x14ac:dyDescent="0.3">
      <c r="A27" s="10">
        <f t="shared" si="8"/>
        <v>10</v>
      </c>
      <c r="B27" s="56"/>
      <c r="C27" s="56"/>
      <c r="D27" s="56"/>
      <c r="E27" s="58"/>
      <c r="F27" s="125"/>
      <c r="G27" s="11">
        <f t="shared" si="9"/>
        <v>40</v>
      </c>
      <c r="H27" s="56"/>
      <c r="I27" s="56"/>
      <c r="J27" s="56"/>
      <c r="K27" s="58"/>
      <c r="L27" s="58"/>
    </row>
    <row r="28" spans="1:12" ht="20.45" customHeight="1" x14ac:dyDescent="0.3">
      <c r="A28" s="10">
        <f t="shared" si="8"/>
        <v>11</v>
      </c>
      <c r="B28" s="59"/>
      <c r="C28" s="59"/>
      <c r="D28" s="59"/>
      <c r="E28" s="119"/>
      <c r="F28" s="120"/>
      <c r="G28" s="11">
        <f t="shared" si="9"/>
        <v>41</v>
      </c>
      <c r="H28" s="56"/>
      <c r="I28" s="56"/>
      <c r="J28" s="56"/>
      <c r="K28" s="58"/>
      <c r="L28" s="58"/>
    </row>
    <row r="29" spans="1:12" ht="20.45" customHeight="1" x14ac:dyDescent="0.3">
      <c r="A29" s="10">
        <f t="shared" si="8"/>
        <v>12</v>
      </c>
      <c r="B29" s="56"/>
      <c r="C29" s="56"/>
      <c r="D29" s="56"/>
      <c r="E29" s="119"/>
      <c r="F29" s="120"/>
      <c r="G29" s="11">
        <f t="shared" si="9"/>
        <v>42</v>
      </c>
      <c r="H29" s="56"/>
      <c r="I29" s="56"/>
      <c r="J29" s="56"/>
      <c r="K29" s="58"/>
      <c r="L29" s="58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120"/>
      <c r="G30" s="11">
        <f t="shared" si="9"/>
        <v>43</v>
      </c>
      <c r="H30" s="56"/>
      <c r="I30" s="56"/>
      <c r="J30" s="56"/>
      <c r="K30" s="58"/>
      <c r="L30" s="58"/>
    </row>
    <row r="31" spans="1:12" ht="20.45" customHeight="1" x14ac:dyDescent="0.3">
      <c r="A31" s="10">
        <f t="shared" si="8"/>
        <v>14</v>
      </c>
      <c r="B31" s="56"/>
      <c r="C31" s="56"/>
      <c r="D31" s="56"/>
      <c r="E31" s="58"/>
      <c r="F31" s="120"/>
      <c r="G31" s="11">
        <f t="shared" si="9"/>
        <v>44</v>
      </c>
      <c r="H31" s="56"/>
      <c r="I31" s="56"/>
      <c r="J31" s="93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61"/>
      <c r="G32" s="11">
        <f t="shared" si="9"/>
        <v>45</v>
      </c>
      <c r="H32" s="56"/>
      <c r="I32" s="56"/>
      <c r="J32" s="93"/>
      <c r="K32" s="58"/>
      <c r="L32" s="61"/>
    </row>
    <row r="33" spans="1:12" ht="20.45" customHeight="1" x14ac:dyDescent="0.3">
      <c r="A33" s="10">
        <f t="shared" ref="A33:A47" si="10">A32+1</f>
        <v>16</v>
      </c>
      <c r="B33" s="59"/>
      <c r="C33" s="59"/>
      <c r="D33" s="59"/>
      <c r="E33" s="58"/>
      <c r="F33" s="125"/>
      <c r="G33" s="11">
        <f t="shared" si="9"/>
        <v>46</v>
      </c>
      <c r="H33" s="56"/>
      <c r="I33" s="56"/>
      <c r="J33" s="93"/>
      <c r="K33" s="58"/>
      <c r="L33" s="61"/>
    </row>
    <row r="34" spans="1:12" ht="20.45" customHeight="1" x14ac:dyDescent="0.3">
      <c r="A34" s="10">
        <f t="shared" si="10"/>
        <v>17</v>
      </c>
      <c r="B34" s="56"/>
      <c r="C34" s="56"/>
      <c r="D34" s="56"/>
      <c r="E34" s="58"/>
      <c r="F34" s="61"/>
      <c r="G34" s="11">
        <f t="shared" si="9"/>
        <v>47</v>
      </c>
      <c r="H34" s="56"/>
      <c r="I34" s="56"/>
      <c r="J34" s="93"/>
      <c r="K34" s="58"/>
      <c r="L34" s="61"/>
    </row>
    <row r="35" spans="1:12" ht="20.45" customHeight="1" x14ac:dyDescent="0.3">
      <c r="A35" s="10">
        <f t="shared" si="10"/>
        <v>18</v>
      </c>
      <c r="B35" s="44"/>
      <c r="C35" s="56"/>
      <c r="D35" s="44"/>
      <c r="E35" s="46"/>
      <c r="F35" s="61"/>
      <c r="G35" s="11">
        <f t="shared" si="9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10"/>
        <v>19</v>
      </c>
      <c r="B36" s="44"/>
      <c r="C36" s="56"/>
      <c r="D36" s="44"/>
      <c r="E36" s="46"/>
      <c r="F36" s="61"/>
      <c r="G36" s="11">
        <f t="shared" si="9"/>
        <v>49</v>
      </c>
      <c r="H36" s="56"/>
      <c r="I36" s="56"/>
      <c r="J36" s="56"/>
      <c r="K36" s="58"/>
      <c r="L36" s="61"/>
    </row>
    <row r="37" spans="1:12" ht="20.45" customHeight="1" x14ac:dyDescent="0.3">
      <c r="A37" s="10">
        <f t="shared" si="10"/>
        <v>20</v>
      </c>
      <c r="B37" s="44"/>
      <c r="C37" s="56"/>
      <c r="D37" s="44"/>
      <c r="E37" s="46"/>
      <c r="F37" s="45"/>
      <c r="G37" s="11">
        <f t="shared" si="9"/>
        <v>50</v>
      </c>
      <c r="H37" s="56"/>
      <c r="I37" s="56"/>
      <c r="J37" s="56"/>
      <c r="K37" s="58"/>
      <c r="L37" s="61"/>
    </row>
    <row r="38" spans="1:12" ht="20.45" customHeight="1" x14ac:dyDescent="0.3">
      <c r="A38" s="10">
        <f t="shared" si="10"/>
        <v>21</v>
      </c>
      <c r="B38" s="44"/>
      <c r="C38" s="56"/>
      <c r="D38" s="44"/>
      <c r="E38" s="46"/>
      <c r="F38" s="45"/>
      <c r="G38" s="11">
        <f t="shared" si="9"/>
        <v>51</v>
      </c>
      <c r="H38" s="56"/>
      <c r="I38" s="56"/>
      <c r="J38" s="56"/>
      <c r="K38" s="58"/>
      <c r="L38" s="61"/>
    </row>
    <row r="39" spans="1:12" ht="20.45" customHeight="1" x14ac:dyDescent="0.3">
      <c r="A39" s="10">
        <f t="shared" si="10"/>
        <v>22</v>
      </c>
      <c r="B39" s="56"/>
      <c r="C39" s="44"/>
      <c r="D39" s="56"/>
      <c r="E39" s="58"/>
      <c r="F39" s="45"/>
      <c r="G39" s="11">
        <f t="shared" si="9"/>
        <v>52</v>
      </c>
      <c r="H39" s="56"/>
      <c r="I39" s="56"/>
      <c r="J39" s="56"/>
      <c r="K39" s="58"/>
      <c r="L39" s="58"/>
    </row>
    <row r="40" spans="1:12" ht="20.45" customHeight="1" x14ac:dyDescent="0.3">
      <c r="A40" s="10">
        <f t="shared" si="10"/>
        <v>23</v>
      </c>
      <c r="B40" s="56"/>
      <c r="C40" s="44"/>
      <c r="D40" s="56"/>
      <c r="E40" s="58"/>
      <c r="F40" s="58"/>
      <c r="G40" s="11">
        <f t="shared" si="9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0"/>
        <v>24</v>
      </c>
      <c r="B41" s="56"/>
      <c r="C41" s="44"/>
      <c r="D41" s="56"/>
      <c r="E41" s="58"/>
      <c r="F41" s="58"/>
      <c r="G41" s="11">
        <f t="shared" si="9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0"/>
        <v>25</v>
      </c>
      <c r="B42" s="56"/>
      <c r="C42" s="44"/>
      <c r="D42" s="56"/>
      <c r="E42" s="58"/>
      <c r="F42" s="61"/>
      <c r="G42" s="11">
        <f t="shared" si="9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10"/>
        <v>26</v>
      </c>
      <c r="B43" s="56"/>
      <c r="C43" s="44"/>
      <c r="D43" s="56"/>
      <c r="E43" s="58"/>
      <c r="F43" s="116"/>
      <c r="G43" s="11">
        <f t="shared" si="9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0"/>
        <v>27</v>
      </c>
      <c r="B44" s="56"/>
      <c r="C44" s="44"/>
      <c r="D44" s="56"/>
      <c r="E44" s="58"/>
      <c r="F44" s="58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9"/>
      <c r="C45" s="59"/>
      <c r="D45" s="59"/>
      <c r="E45" s="119"/>
      <c r="F45" s="125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116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0">
        <f t="shared" si="10"/>
        <v>30</v>
      </c>
      <c r="B47" s="56"/>
      <c r="C47" s="56"/>
      <c r="D47" s="56"/>
      <c r="E47" s="58"/>
      <c r="F47" s="116"/>
      <c r="G47" s="11">
        <f t="shared" si="9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8:F33">
    <sortCondition ref="E28:E33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3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4F1D1-A25A-48E4-93A0-83FF52B017CF}">
  <sheetPr codeName="Sheet25">
    <tabColor rgb="FFFFFFFF"/>
  </sheetPr>
  <dimension ref="A1:T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20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20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20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  <c r="T3" s="131"/>
    </row>
    <row r="4" spans="1:20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20" ht="21.95" customHeight="1" x14ac:dyDescent="0.3">
      <c r="A5" s="157" t="s">
        <v>20</v>
      </c>
      <c r="B5" s="157"/>
      <c r="C5" s="160">
        <f>'261023'!C5:F5+1</f>
        <v>46319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20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20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20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'261023'!F8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'261023'!L8</f>
        <v>0</v>
      </c>
      <c r="L8" s="42">
        <f t="shared" ref="L8:L13" si="3">I8+K8</f>
        <v>0</v>
      </c>
    </row>
    <row r="9" spans="1:20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'261023'!F9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42">
        <f>'261023'!L9</f>
        <v>0</v>
      </c>
      <c r="L9" s="34">
        <f t="shared" si="3"/>
        <v>0</v>
      </c>
    </row>
    <row r="10" spans="1:20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'261023'!F10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42">
        <f>'261023'!L10</f>
        <v>0</v>
      </c>
      <c r="L10" s="34">
        <f t="shared" si="3"/>
        <v>0</v>
      </c>
    </row>
    <row r="11" spans="1:20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'261023'!F11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'261023'!L12</f>
        <v>0</v>
      </c>
      <c r="L11" s="34">
        <f t="shared" si="3"/>
        <v>0</v>
      </c>
    </row>
    <row r="12" spans="1:20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'261023'!F12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'261023'!L12</f>
        <v>0</v>
      </c>
      <c r="L12" s="34">
        <f t="shared" si="3"/>
        <v>0</v>
      </c>
    </row>
    <row r="13" spans="1:20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'261023'!F13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'261023'!L14</f>
        <v>0</v>
      </c>
      <c r="L13" s="34">
        <f t="shared" si="3"/>
        <v>0</v>
      </c>
    </row>
    <row r="14" spans="1:20" ht="21.95" customHeight="1" x14ac:dyDescent="0.3">
      <c r="A14" s="5">
        <f t="shared" si="4"/>
        <v>7</v>
      </c>
      <c r="B14" s="104" t="str">
        <f>'261001'!B14</f>
        <v>천정</v>
      </c>
      <c r="C14" s="179">
        <f t="shared" si="0"/>
        <v>0</v>
      </c>
      <c r="D14" s="180"/>
      <c r="E14" s="39">
        <f>'261023'!F14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79">
        <f t="shared" si="2"/>
        <v>0</v>
      </c>
      <c r="J14" s="180"/>
      <c r="K14" s="40">
        <v>0</v>
      </c>
      <c r="L14" s="40">
        <f t="shared" ref="L14" si="7">I14+K14</f>
        <v>0</v>
      </c>
    </row>
    <row r="15" spans="1:20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20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58"/>
      <c r="G20" s="11">
        <f t="shared" ref="G20:G47" si="9">G19+1</f>
        <v>33</v>
      </c>
      <c r="H20" s="56"/>
      <c r="I20" s="56"/>
      <c r="J20" s="56"/>
      <c r="K20" s="58"/>
      <c r="L20" s="58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58"/>
      <c r="G21" s="11">
        <f t="shared" si="9"/>
        <v>34</v>
      </c>
      <c r="H21" s="56"/>
      <c r="I21" s="56"/>
      <c r="J21" s="56"/>
      <c r="K21" s="58"/>
      <c r="L21" s="58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116"/>
      <c r="G22" s="11">
        <f t="shared" si="9"/>
        <v>35</v>
      </c>
      <c r="H22" s="56"/>
      <c r="I22" s="56"/>
      <c r="J22" s="56"/>
      <c r="K22" s="58"/>
      <c r="L22" s="58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116"/>
      <c r="G23" s="11">
        <f t="shared" si="9"/>
        <v>36</v>
      </c>
      <c r="H23" s="56"/>
      <c r="I23" s="56"/>
      <c r="J23" s="56"/>
      <c r="K23" s="58"/>
      <c r="L23" s="58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125"/>
      <c r="G24" s="11">
        <f t="shared" si="9"/>
        <v>37</v>
      </c>
      <c r="H24" s="56"/>
      <c r="I24" s="56"/>
      <c r="J24" s="56"/>
      <c r="K24" s="58"/>
      <c r="L24" s="58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125"/>
      <c r="G25" s="11">
        <f t="shared" si="9"/>
        <v>38</v>
      </c>
      <c r="H25" s="56"/>
      <c r="I25" s="56"/>
      <c r="J25" s="56"/>
      <c r="K25" s="58"/>
      <c r="L25" s="58"/>
    </row>
    <row r="26" spans="1:12" ht="20.45" customHeight="1" x14ac:dyDescent="0.3">
      <c r="A26" s="10">
        <f t="shared" si="8"/>
        <v>9</v>
      </c>
      <c r="B26" s="56"/>
      <c r="C26" s="56"/>
      <c r="D26" s="56"/>
      <c r="E26" s="58"/>
      <c r="F26" s="116"/>
      <c r="G26" s="11">
        <f t="shared" si="9"/>
        <v>39</v>
      </c>
      <c r="H26" s="56"/>
      <c r="I26" s="56"/>
      <c r="J26" s="56"/>
      <c r="K26" s="58"/>
      <c r="L26" s="58"/>
    </row>
    <row r="27" spans="1:12" ht="20.45" customHeight="1" x14ac:dyDescent="0.3">
      <c r="A27" s="10">
        <f t="shared" si="8"/>
        <v>10</v>
      </c>
      <c r="B27" s="59"/>
      <c r="C27" s="59"/>
      <c r="D27" s="59"/>
      <c r="E27" s="119"/>
      <c r="F27" s="120"/>
      <c r="G27" s="11">
        <f t="shared" si="9"/>
        <v>40</v>
      </c>
      <c r="H27" s="56"/>
      <c r="I27" s="56"/>
      <c r="J27" s="56"/>
      <c r="K27" s="58"/>
      <c r="L27" s="58"/>
    </row>
    <row r="28" spans="1:12" ht="20.45" customHeight="1" x14ac:dyDescent="0.3">
      <c r="A28" s="10">
        <f t="shared" si="8"/>
        <v>11</v>
      </c>
      <c r="B28" s="56"/>
      <c r="C28" s="56"/>
      <c r="D28" s="56"/>
      <c r="E28" s="58"/>
      <c r="F28" s="120"/>
      <c r="G28" s="11">
        <f t="shared" si="9"/>
        <v>41</v>
      </c>
      <c r="H28" s="56"/>
      <c r="I28" s="56"/>
      <c r="J28" s="56"/>
      <c r="K28" s="58"/>
      <c r="L28" s="58"/>
    </row>
    <row r="29" spans="1:12" ht="20.45" customHeight="1" x14ac:dyDescent="0.3">
      <c r="A29" s="10">
        <f t="shared" si="8"/>
        <v>12</v>
      </c>
      <c r="B29" s="56"/>
      <c r="C29" s="56"/>
      <c r="D29" s="56"/>
      <c r="E29" s="58"/>
      <c r="F29" s="120"/>
      <c r="G29" s="11">
        <f t="shared" si="9"/>
        <v>42</v>
      </c>
      <c r="H29" s="56"/>
      <c r="I29" s="56"/>
      <c r="J29" s="56"/>
      <c r="K29" s="58"/>
      <c r="L29" s="58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61"/>
      <c r="G30" s="11">
        <f t="shared" si="9"/>
        <v>43</v>
      </c>
      <c r="H30" s="56"/>
      <c r="I30" s="56"/>
      <c r="J30" s="56"/>
      <c r="K30" s="58"/>
      <c r="L30" s="58"/>
    </row>
    <row r="31" spans="1:12" ht="20.45" customHeight="1" x14ac:dyDescent="0.3">
      <c r="A31" s="10">
        <f t="shared" si="8"/>
        <v>14</v>
      </c>
      <c r="B31" s="59"/>
      <c r="C31" s="59"/>
      <c r="D31" s="59"/>
      <c r="E31" s="58"/>
      <c r="F31" s="125"/>
      <c r="G31" s="11">
        <f t="shared" si="9"/>
        <v>44</v>
      </c>
      <c r="H31" s="56"/>
      <c r="I31" s="56"/>
      <c r="J31" s="56"/>
      <c r="K31" s="58"/>
      <c r="L31" s="58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61"/>
      <c r="G32" s="11">
        <f t="shared" si="9"/>
        <v>45</v>
      </c>
      <c r="H32" s="56"/>
      <c r="I32" s="56"/>
      <c r="J32" s="56"/>
      <c r="K32" s="58"/>
      <c r="L32" s="58"/>
    </row>
    <row r="33" spans="1:12" ht="20.45" customHeight="1" x14ac:dyDescent="0.3">
      <c r="A33" s="10">
        <f t="shared" ref="A33:A47" si="10">A32+1</f>
        <v>16</v>
      </c>
      <c r="B33" s="44"/>
      <c r="C33" s="56"/>
      <c r="D33" s="44"/>
      <c r="E33" s="46"/>
      <c r="F33" s="61"/>
      <c r="G33" s="11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44"/>
      <c r="C34" s="56"/>
      <c r="D34" s="44"/>
      <c r="E34" s="46"/>
      <c r="F34" s="61"/>
      <c r="G34" s="11">
        <f t="shared" si="9"/>
        <v>47</v>
      </c>
      <c r="H34" s="56"/>
      <c r="I34" s="56"/>
      <c r="J34" s="56"/>
      <c r="K34" s="46"/>
      <c r="L34" s="45"/>
    </row>
    <row r="35" spans="1:12" ht="20.45" customHeight="1" x14ac:dyDescent="0.3">
      <c r="A35" s="10">
        <f t="shared" si="10"/>
        <v>18</v>
      </c>
      <c r="B35" s="44"/>
      <c r="C35" s="56"/>
      <c r="D35" s="44"/>
      <c r="E35" s="46"/>
      <c r="F35" s="61"/>
      <c r="G35" s="11">
        <f t="shared" si="9"/>
        <v>48</v>
      </c>
      <c r="H35" s="56"/>
      <c r="I35" s="56"/>
      <c r="J35" s="56"/>
      <c r="K35" s="46"/>
      <c r="L35" s="45"/>
    </row>
    <row r="36" spans="1:12" ht="20.45" customHeight="1" x14ac:dyDescent="0.3">
      <c r="A36" s="10">
        <f t="shared" si="10"/>
        <v>19</v>
      </c>
      <c r="B36" s="44"/>
      <c r="C36" s="56"/>
      <c r="D36" s="44"/>
      <c r="E36" s="46"/>
      <c r="F36" s="61"/>
      <c r="G36" s="11">
        <f t="shared" si="9"/>
        <v>49</v>
      </c>
      <c r="H36" s="56"/>
      <c r="I36" s="56"/>
      <c r="J36" s="56"/>
      <c r="K36" s="46"/>
      <c r="L36" s="45"/>
    </row>
    <row r="37" spans="1:12" ht="20.45" customHeight="1" x14ac:dyDescent="0.3">
      <c r="A37" s="10">
        <f t="shared" si="10"/>
        <v>20</v>
      </c>
      <c r="B37" s="44"/>
      <c r="C37" s="56"/>
      <c r="D37" s="44"/>
      <c r="E37" s="46"/>
      <c r="F37" s="45"/>
      <c r="G37" s="11">
        <f t="shared" si="9"/>
        <v>50</v>
      </c>
      <c r="H37" s="56"/>
      <c r="I37" s="56"/>
      <c r="J37" s="56"/>
      <c r="K37" s="58"/>
      <c r="L37" s="58"/>
    </row>
    <row r="38" spans="1:12" ht="20.45" customHeight="1" x14ac:dyDescent="0.3">
      <c r="A38" s="10">
        <f t="shared" si="10"/>
        <v>21</v>
      </c>
      <c r="B38" s="56"/>
      <c r="C38" s="44"/>
      <c r="D38" s="56"/>
      <c r="E38" s="58"/>
      <c r="F38" s="45"/>
      <c r="G38" s="11">
        <f t="shared" si="9"/>
        <v>51</v>
      </c>
      <c r="H38" s="44"/>
      <c r="I38" s="44"/>
      <c r="J38" s="44"/>
      <c r="K38" s="46"/>
      <c r="L38" s="45"/>
    </row>
    <row r="39" spans="1:12" ht="20.45" customHeight="1" x14ac:dyDescent="0.3">
      <c r="A39" s="10">
        <f t="shared" si="10"/>
        <v>22</v>
      </c>
      <c r="B39" s="56"/>
      <c r="C39" s="44"/>
      <c r="D39" s="56"/>
      <c r="E39" s="58"/>
      <c r="F39" s="45"/>
      <c r="G39" s="11">
        <f t="shared" si="9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10"/>
        <v>23</v>
      </c>
      <c r="B40" s="56"/>
      <c r="C40" s="44"/>
      <c r="D40" s="56"/>
      <c r="E40" s="58"/>
      <c r="F40" s="58"/>
      <c r="G40" s="11">
        <f t="shared" si="9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0"/>
        <v>24</v>
      </c>
      <c r="B41" s="56"/>
      <c r="C41" s="44"/>
      <c r="D41" s="56"/>
      <c r="E41" s="58"/>
      <c r="F41" s="58"/>
      <c r="G41" s="11">
        <f t="shared" si="9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61"/>
      <c r="G42" s="11">
        <f t="shared" si="9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61"/>
      <c r="G43" s="11">
        <f t="shared" si="9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61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61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61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0">
        <f t="shared" si="10"/>
        <v>30</v>
      </c>
      <c r="B47" s="56"/>
      <c r="C47" s="56"/>
      <c r="D47" s="56"/>
      <c r="E47" s="58"/>
      <c r="F47" s="61"/>
      <c r="G47" s="11">
        <f t="shared" si="9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H18:L23">
    <sortCondition ref="K21:K23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2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C6053-910B-4B6F-9327-5BACB6DEFEB1}">
  <sheetPr codeName="Sheet26">
    <tabColor rgb="FFFF0000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'261024'!C5:F5+1</f>
        <v>46320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'261024'!F8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'261024'!L8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'261024'!F9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'261024'!L9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'261024'!F10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'261024'!L10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'261024'!F11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'261024'!L11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'261024'!F12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'261024'!L12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'261024'!F13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'261024'!L13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'261024'!F14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'261024'!L14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58"/>
      <c r="G20" s="11">
        <f t="shared" ref="G20:G47" si="9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58"/>
      <c r="G21" s="11">
        <f t="shared" si="9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116"/>
      <c r="G22" s="11">
        <f t="shared" si="9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116"/>
      <c r="G23" s="11">
        <f t="shared" si="9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61"/>
      <c r="G24" s="11">
        <f t="shared" si="9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116"/>
      <c r="G25" s="11">
        <f t="shared" si="9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8"/>
        <v>9</v>
      </c>
      <c r="B26" s="56"/>
      <c r="C26" s="56"/>
      <c r="D26" s="56"/>
      <c r="E26" s="58"/>
      <c r="F26" s="116"/>
      <c r="G26" s="11">
        <f t="shared" si="9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8"/>
        <v>10</v>
      </c>
      <c r="B27" s="59"/>
      <c r="C27" s="59"/>
      <c r="D27" s="59"/>
      <c r="E27" s="119"/>
      <c r="F27" s="120"/>
      <c r="G27" s="11">
        <f t="shared" si="9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8"/>
        <v>11</v>
      </c>
      <c r="B28" s="56"/>
      <c r="C28" s="56"/>
      <c r="D28" s="56"/>
      <c r="E28" s="58"/>
      <c r="F28" s="125"/>
      <c r="G28" s="11">
        <f t="shared" si="9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8"/>
        <v>12</v>
      </c>
      <c r="B29" s="56"/>
      <c r="C29" s="56"/>
      <c r="D29" s="56"/>
      <c r="E29" s="58"/>
      <c r="F29" s="125"/>
      <c r="G29" s="11">
        <f t="shared" si="9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125"/>
      <c r="G30" s="11">
        <f t="shared" si="9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8"/>
        <v>14</v>
      </c>
      <c r="B31" s="59"/>
      <c r="C31" s="59"/>
      <c r="D31" s="59"/>
      <c r="E31" s="58"/>
      <c r="F31" s="125"/>
      <c r="G31" s="11">
        <f t="shared" si="9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125"/>
      <c r="G32" s="11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0">A32+1</f>
        <v>16</v>
      </c>
      <c r="B33" s="44"/>
      <c r="C33" s="56"/>
      <c r="D33" s="44"/>
      <c r="E33" s="46"/>
      <c r="F33" s="125"/>
      <c r="G33" s="11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44"/>
      <c r="C34" s="56"/>
      <c r="D34" s="44"/>
      <c r="E34" s="46"/>
      <c r="F34" s="125"/>
      <c r="G34" s="11">
        <f t="shared" si="9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10"/>
        <v>18</v>
      </c>
      <c r="B35" s="44"/>
      <c r="C35" s="44"/>
      <c r="D35" s="44"/>
      <c r="E35" s="46"/>
      <c r="F35" s="45"/>
      <c r="G35" s="11">
        <f t="shared" si="9"/>
        <v>48</v>
      </c>
      <c r="H35" s="44"/>
      <c r="I35" s="44"/>
      <c r="J35" s="44"/>
      <c r="K35" s="46"/>
      <c r="L35" s="45"/>
    </row>
    <row r="36" spans="1:12" ht="20.45" customHeight="1" x14ac:dyDescent="0.3">
      <c r="A36" s="10">
        <f t="shared" si="10"/>
        <v>19</v>
      </c>
      <c r="B36" s="56"/>
      <c r="C36" s="44"/>
      <c r="D36" s="56"/>
      <c r="E36" s="46"/>
      <c r="F36" s="45"/>
      <c r="G36" s="11">
        <f t="shared" si="9"/>
        <v>49</v>
      </c>
      <c r="H36" s="44"/>
      <c r="I36" s="44"/>
      <c r="J36" s="44"/>
      <c r="K36" s="46"/>
      <c r="L36" s="45"/>
    </row>
    <row r="37" spans="1:12" ht="20.45" customHeight="1" x14ac:dyDescent="0.3">
      <c r="A37" s="10">
        <f t="shared" si="10"/>
        <v>20</v>
      </c>
      <c r="B37" s="56"/>
      <c r="C37" s="44"/>
      <c r="D37" s="56"/>
      <c r="E37" s="58"/>
      <c r="F37" s="45"/>
      <c r="G37" s="11">
        <f t="shared" si="9"/>
        <v>50</v>
      </c>
      <c r="H37" s="44"/>
      <c r="I37" s="44"/>
      <c r="J37" s="44"/>
      <c r="K37" s="46"/>
      <c r="L37" s="45"/>
    </row>
    <row r="38" spans="1:12" ht="20.45" customHeight="1" x14ac:dyDescent="0.3">
      <c r="A38" s="10">
        <f t="shared" si="10"/>
        <v>21</v>
      </c>
      <c r="B38" s="56"/>
      <c r="C38" s="44"/>
      <c r="D38" s="56"/>
      <c r="E38" s="58"/>
      <c r="F38" s="58"/>
      <c r="G38" s="11">
        <f t="shared" si="9"/>
        <v>51</v>
      </c>
      <c r="H38" s="44"/>
      <c r="I38" s="44"/>
      <c r="J38" s="44"/>
      <c r="K38" s="46"/>
      <c r="L38" s="45"/>
    </row>
    <row r="39" spans="1:12" ht="20.45" customHeight="1" x14ac:dyDescent="0.3">
      <c r="A39" s="10">
        <f t="shared" si="10"/>
        <v>22</v>
      </c>
      <c r="B39" s="56"/>
      <c r="C39" s="44"/>
      <c r="D39" s="56"/>
      <c r="E39" s="58"/>
      <c r="F39" s="58"/>
      <c r="G39" s="11">
        <f t="shared" si="9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10"/>
        <v>23</v>
      </c>
      <c r="B40" s="56"/>
      <c r="C40" s="56"/>
      <c r="D40" s="56"/>
      <c r="E40" s="58"/>
      <c r="F40" s="61"/>
      <c r="G40" s="11">
        <f t="shared" si="9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0"/>
        <v>24</v>
      </c>
      <c r="B41" s="56"/>
      <c r="C41" s="56"/>
      <c r="D41" s="56"/>
      <c r="E41" s="58"/>
      <c r="F41" s="61"/>
      <c r="G41" s="11">
        <f t="shared" si="9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61"/>
      <c r="G42" s="11">
        <f t="shared" si="9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61"/>
      <c r="G43" s="11">
        <f t="shared" si="9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0"/>
        <v>27</v>
      </c>
      <c r="B44" s="59"/>
      <c r="C44" s="59"/>
      <c r="D44" s="59"/>
      <c r="E44" s="119"/>
      <c r="F44" s="125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6"/>
      <c r="C45" s="56"/>
      <c r="D45" s="56"/>
      <c r="E45" s="119"/>
      <c r="F45" s="116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119"/>
      <c r="F46" s="116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17">
        <f t="shared" si="10"/>
        <v>30</v>
      </c>
      <c r="B47" s="112"/>
      <c r="C47" s="112"/>
      <c r="D47" s="112"/>
      <c r="E47" s="113"/>
      <c r="F47" s="118"/>
      <c r="G47" s="121">
        <f t="shared" si="9"/>
        <v>60</v>
      </c>
      <c r="H47" s="122"/>
      <c r="I47" s="122"/>
      <c r="J47" s="122"/>
      <c r="K47" s="123"/>
      <c r="L47" s="124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7:F45">
    <sortCondition ref="E37:E45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2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623E3-5773-46A9-8733-77CEE090094E}">
  <sheetPr codeName="Sheet27">
    <tabColor rgb="FFFFFFFF"/>
  </sheetPr>
  <dimension ref="A1:N52"/>
  <sheetViews>
    <sheetView showGridLines="0" view="pageBreakPreview" zoomScaleNormal="100" zoomScaleSheetLayoutView="100" workbookViewId="0">
      <selection sqref="A1:F2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'261025'!C5:F5+1</f>
        <v>46321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'261025'!F8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'261025'!L8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'261025'!F9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'261025'!L9</f>
        <v>0</v>
      </c>
      <c r="L9" s="34">
        <f t="shared" si="3"/>
        <v>0</v>
      </c>
    </row>
    <row r="10" spans="1:14" ht="21.95" customHeight="1" x14ac:dyDescent="0.3">
      <c r="A10" s="4">
        <f t="shared" ref="A10:A13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'261025'!F10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'261025'!L10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'261025'!F11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'261025'!L11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'261025'!F12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'261025'!L12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'261025'!F13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'261025'!L13</f>
        <v>0</v>
      </c>
      <c r="L13" s="34">
        <f t="shared" si="3"/>
        <v>0</v>
      </c>
    </row>
    <row r="14" spans="1:14" ht="21.95" customHeight="1" x14ac:dyDescent="0.3">
      <c r="A14" s="5">
        <f t="shared" ref="A14" si="6">A13+1</f>
        <v>7</v>
      </c>
      <c r="B14" s="104" t="str">
        <f>'261001'!B14</f>
        <v>천정</v>
      </c>
      <c r="C14" s="150">
        <f t="shared" si="0"/>
        <v>0</v>
      </c>
      <c r="D14" s="150"/>
      <c r="E14" s="39">
        <f>'261025'!F14</f>
        <v>0</v>
      </c>
      <c r="F14" s="40">
        <f t="shared" ref="F14" si="7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'261025'!L14</f>
        <v>0</v>
      </c>
      <c r="L14" s="40">
        <f t="shared" ref="L14" si="8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9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9"/>
        <v>3</v>
      </c>
      <c r="B20" s="56"/>
      <c r="C20" s="56"/>
      <c r="D20" s="56"/>
      <c r="E20" s="58"/>
      <c r="F20" s="58"/>
      <c r="G20" s="11">
        <f t="shared" ref="G20:G47" si="10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9"/>
        <v>4</v>
      </c>
      <c r="B21" s="56"/>
      <c r="C21" s="56"/>
      <c r="D21" s="56"/>
      <c r="E21" s="58"/>
      <c r="F21" s="58"/>
      <c r="G21" s="11">
        <f t="shared" si="10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9"/>
        <v>5</v>
      </c>
      <c r="B22" s="56"/>
      <c r="C22" s="56"/>
      <c r="D22" s="56"/>
      <c r="E22" s="58"/>
      <c r="F22" s="116"/>
      <c r="G22" s="11">
        <f t="shared" si="10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9"/>
        <v>6</v>
      </c>
      <c r="B23" s="56"/>
      <c r="C23" s="56"/>
      <c r="D23" s="56"/>
      <c r="E23" s="58"/>
      <c r="F23" s="116"/>
      <c r="G23" s="11">
        <f t="shared" si="10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9"/>
        <v>7</v>
      </c>
      <c r="B24" s="56"/>
      <c r="C24" s="56"/>
      <c r="D24" s="56"/>
      <c r="E24" s="58"/>
      <c r="F24" s="125"/>
      <c r="G24" s="11">
        <f t="shared" si="10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9"/>
        <v>8</v>
      </c>
      <c r="B25" s="56"/>
      <c r="C25" s="56"/>
      <c r="D25" s="56"/>
      <c r="E25" s="58"/>
      <c r="F25" s="125"/>
      <c r="G25" s="11">
        <f t="shared" si="10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9"/>
        <v>9</v>
      </c>
      <c r="B26" s="56"/>
      <c r="C26" s="56"/>
      <c r="D26" s="56"/>
      <c r="E26" s="58"/>
      <c r="F26" s="61"/>
      <c r="G26" s="11">
        <f t="shared" si="10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9"/>
        <v>10</v>
      </c>
      <c r="B27" s="56"/>
      <c r="C27" s="56"/>
      <c r="D27" s="56"/>
      <c r="E27" s="58"/>
      <c r="F27" s="61"/>
      <c r="G27" s="11">
        <f t="shared" si="10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9"/>
        <v>11</v>
      </c>
      <c r="B28" s="56"/>
      <c r="C28" s="56"/>
      <c r="D28" s="56"/>
      <c r="E28" s="58"/>
      <c r="F28" s="61"/>
      <c r="G28" s="11">
        <f t="shared" si="10"/>
        <v>41</v>
      </c>
      <c r="H28" s="56"/>
      <c r="I28" s="56"/>
      <c r="J28" s="56"/>
      <c r="K28" s="58"/>
      <c r="L28" s="58"/>
    </row>
    <row r="29" spans="1:12" ht="20.45" customHeight="1" x14ac:dyDescent="0.3">
      <c r="A29" s="10">
        <f t="shared" si="9"/>
        <v>12</v>
      </c>
      <c r="B29" s="56"/>
      <c r="C29" s="56"/>
      <c r="D29" s="56"/>
      <c r="E29" s="58"/>
      <c r="F29" s="58"/>
      <c r="G29" s="11">
        <f t="shared" si="10"/>
        <v>42</v>
      </c>
      <c r="H29" s="56"/>
      <c r="I29" s="56"/>
      <c r="J29" s="56"/>
      <c r="K29" s="58"/>
      <c r="L29" s="58"/>
    </row>
    <row r="30" spans="1:12" ht="20.45" customHeight="1" x14ac:dyDescent="0.3">
      <c r="A30" s="10">
        <f t="shared" si="9"/>
        <v>13</v>
      </c>
      <c r="B30" s="56"/>
      <c r="C30" s="56"/>
      <c r="D30" s="56"/>
      <c r="E30" s="58"/>
      <c r="F30" s="58"/>
      <c r="G30" s="11">
        <f t="shared" si="10"/>
        <v>43</v>
      </c>
      <c r="H30" s="56"/>
      <c r="I30" s="56"/>
      <c r="J30" s="56"/>
      <c r="K30" s="58"/>
      <c r="L30" s="58"/>
    </row>
    <row r="31" spans="1:12" ht="20.45" customHeight="1" x14ac:dyDescent="0.3">
      <c r="A31" s="10">
        <f t="shared" si="9"/>
        <v>14</v>
      </c>
      <c r="B31" s="56"/>
      <c r="C31" s="56"/>
      <c r="D31" s="56"/>
      <c r="E31" s="119"/>
      <c r="F31" s="116"/>
      <c r="G31" s="11">
        <f t="shared" si="10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119"/>
      <c r="F32" s="116"/>
      <c r="G32" s="11">
        <f t="shared" si="10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1">A32+1</f>
        <v>16</v>
      </c>
      <c r="B33" s="59"/>
      <c r="C33" s="59"/>
      <c r="D33" s="59"/>
      <c r="E33" s="119"/>
      <c r="F33" s="120"/>
      <c r="G33" s="11">
        <f t="shared" si="10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1"/>
        <v>17</v>
      </c>
      <c r="B34" s="56"/>
      <c r="C34" s="56"/>
      <c r="D34" s="56"/>
      <c r="E34" s="119"/>
      <c r="F34" s="116"/>
      <c r="G34" s="11">
        <f t="shared" si="10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11"/>
        <v>18</v>
      </c>
      <c r="B35" s="59"/>
      <c r="C35" s="59"/>
      <c r="D35" s="59"/>
      <c r="E35" s="58"/>
      <c r="F35" s="125"/>
      <c r="G35" s="11">
        <f t="shared" si="10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11"/>
        <v>19</v>
      </c>
      <c r="B36" s="56"/>
      <c r="C36" s="56"/>
      <c r="D36" s="56"/>
      <c r="E36" s="58"/>
      <c r="F36" s="116"/>
      <c r="G36" s="11">
        <f t="shared" si="10"/>
        <v>49</v>
      </c>
      <c r="H36" s="56"/>
      <c r="I36" s="56"/>
      <c r="J36" s="56"/>
      <c r="K36" s="58"/>
      <c r="L36" s="58"/>
    </row>
    <row r="37" spans="1:12" ht="20.45" customHeight="1" x14ac:dyDescent="0.3">
      <c r="A37" s="10">
        <f t="shared" si="11"/>
        <v>20</v>
      </c>
      <c r="B37" s="56"/>
      <c r="C37" s="56"/>
      <c r="D37" s="56"/>
      <c r="E37" s="58"/>
      <c r="F37" s="116"/>
      <c r="G37" s="11">
        <f t="shared" si="10"/>
        <v>50</v>
      </c>
      <c r="H37" s="56"/>
      <c r="I37" s="56"/>
      <c r="J37" s="56"/>
      <c r="K37" s="58"/>
      <c r="L37" s="58"/>
    </row>
    <row r="38" spans="1:12" ht="20.45" customHeight="1" x14ac:dyDescent="0.3">
      <c r="A38" s="10">
        <f t="shared" si="11"/>
        <v>21</v>
      </c>
      <c r="B38" s="56"/>
      <c r="C38" s="56"/>
      <c r="D38" s="56"/>
      <c r="E38" s="58"/>
      <c r="F38" s="61"/>
      <c r="G38" s="11">
        <f t="shared" si="10"/>
        <v>51</v>
      </c>
      <c r="H38" s="44"/>
      <c r="I38" s="44"/>
      <c r="J38" s="44"/>
      <c r="K38" s="46"/>
      <c r="L38" s="45"/>
    </row>
    <row r="39" spans="1:12" ht="20.45" customHeight="1" x14ac:dyDescent="0.3">
      <c r="A39" s="10">
        <f t="shared" si="11"/>
        <v>22</v>
      </c>
      <c r="B39" s="56"/>
      <c r="C39" s="56"/>
      <c r="D39" s="56"/>
      <c r="E39" s="58"/>
      <c r="F39" s="61"/>
      <c r="G39" s="11">
        <f t="shared" si="10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11"/>
        <v>23</v>
      </c>
      <c r="B40" s="59"/>
      <c r="C40" s="59"/>
      <c r="D40" s="59"/>
      <c r="E40" s="58"/>
      <c r="F40" s="125"/>
      <c r="G40" s="11">
        <f t="shared" si="10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1"/>
        <v>24</v>
      </c>
      <c r="B41" s="56"/>
      <c r="C41" s="56"/>
      <c r="D41" s="56"/>
      <c r="E41" s="58"/>
      <c r="F41" s="116"/>
      <c r="G41" s="11">
        <f t="shared" si="10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1"/>
        <v>25</v>
      </c>
      <c r="B42" s="56"/>
      <c r="C42" s="56"/>
      <c r="D42" s="56"/>
      <c r="E42" s="58"/>
      <c r="F42" s="116"/>
      <c r="G42" s="11">
        <f t="shared" si="10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11"/>
        <v>26</v>
      </c>
      <c r="B43" s="56"/>
      <c r="C43" s="56"/>
      <c r="D43" s="56"/>
      <c r="E43" s="58"/>
      <c r="F43" s="61"/>
      <c r="G43" s="11">
        <f t="shared" si="10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1"/>
        <v>27</v>
      </c>
      <c r="B44" s="59"/>
      <c r="C44" s="59"/>
      <c r="D44" s="59"/>
      <c r="E44" s="119"/>
      <c r="F44" s="125"/>
      <c r="G44" s="11">
        <f t="shared" si="10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1"/>
        <v>28</v>
      </c>
      <c r="B45" s="56"/>
      <c r="C45" s="56"/>
      <c r="D45" s="56"/>
      <c r="E45" s="119"/>
      <c r="F45" s="116"/>
      <c r="G45" s="11">
        <f t="shared" si="10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1"/>
        <v>29</v>
      </c>
      <c r="B46" s="56"/>
      <c r="C46" s="56"/>
      <c r="D46" s="56"/>
      <c r="E46" s="119"/>
      <c r="F46" s="116"/>
      <c r="G46" s="11">
        <f t="shared" si="10"/>
        <v>59</v>
      </c>
      <c r="H46" s="44"/>
      <c r="I46" s="44"/>
      <c r="J46" s="44"/>
      <c r="K46" s="46"/>
      <c r="L46" s="45"/>
    </row>
    <row r="47" spans="1:12" ht="20.45" customHeight="1" x14ac:dyDescent="0.3">
      <c r="A47" s="10">
        <f t="shared" si="11"/>
        <v>30</v>
      </c>
      <c r="B47" s="56"/>
      <c r="C47" s="56"/>
      <c r="D47" s="56"/>
      <c r="E47" s="58"/>
      <c r="F47" s="58"/>
      <c r="G47" s="11">
        <f t="shared" si="10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47:F47">
    <sortCondition ref="E47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2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DCBF2-7F74-43CB-ADC7-53054681E2E1}">
  <sheetPr codeName="Sheet28">
    <tabColor rgb="FFFFFFFF"/>
  </sheetPr>
  <dimension ref="A1:N52"/>
  <sheetViews>
    <sheetView showGridLines="0" view="pageBreakPreview" zoomScaleNormal="100" zoomScaleSheetLayoutView="100" workbookViewId="0">
      <selection activeCell="K14" sqref="K14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'261026'!C5:F5+1</f>
        <v>46322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'261026'!F8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'261026'!L8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'261026'!F9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'261026'!L9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'261026'!F10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'261026'!L10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'261026'!F11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'261026'!L11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'261026'!F12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'261026'!L12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'261026'!F13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'261026'!L13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'261026'!F14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'261026'!L14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58"/>
      <c r="G20" s="11">
        <f t="shared" ref="G20:G47" si="9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58"/>
      <c r="G21" s="11">
        <f t="shared" si="9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116"/>
      <c r="G22" s="11">
        <f t="shared" si="9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116"/>
      <c r="G23" s="11">
        <f t="shared" si="9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125"/>
      <c r="G24" s="11">
        <f t="shared" si="9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125"/>
      <c r="G25" s="11">
        <f t="shared" si="9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8"/>
        <v>9</v>
      </c>
      <c r="B26" s="56"/>
      <c r="C26" s="56"/>
      <c r="D26" s="56"/>
      <c r="E26" s="58"/>
      <c r="F26" s="116"/>
      <c r="G26" s="11">
        <f t="shared" si="9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8"/>
        <v>10</v>
      </c>
      <c r="B27" s="59"/>
      <c r="C27" s="59"/>
      <c r="D27" s="59"/>
      <c r="E27" s="58"/>
      <c r="F27" s="116"/>
      <c r="G27" s="11">
        <f t="shared" si="9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8"/>
        <v>11</v>
      </c>
      <c r="B28" s="59"/>
      <c r="C28" s="59"/>
      <c r="D28" s="59"/>
      <c r="E28" s="119"/>
      <c r="F28" s="120"/>
      <c r="G28" s="11">
        <f t="shared" si="9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8"/>
        <v>12</v>
      </c>
      <c r="B29" s="56"/>
      <c r="C29" s="56"/>
      <c r="D29" s="56"/>
      <c r="E29" s="58"/>
      <c r="F29" s="125"/>
      <c r="G29" s="11">
        <f t="shared" si="9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125"/>
      <c r="G30" s="11">
        <f t="shared" si="9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8"/>
        <v>14</v>
      </c>
      <c r="B31" s="56"/>
      <c r="C31" s="56"/>
      <c r="D31" s="56"/>
      <c r="E31" s="58"/>
      <c r="F31" s="125"/>
      <c r="G31" s="11">
        <f t="shared" si="9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11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0">A32+1</f>
        <v>16</v>
      </c>
      <c r="B33" s="56"/>
      <c r="C33" s="56"/>
      <c r="D33" s="56"/>
      <c r="E33" s="58"/>
      <c r="F33" s="125"/>
      <c r="G33" s="11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44"/>
      <c r="C34" s="56"/>
      <c r="D34" s="44"/>
      <c r="E34" s="46"/>
      <c r="F34" s="125"/>
      <c r="G34" s="11">
        <f t="shared" si="9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10"/>
        <v>18</v>
      </c>
      <c r="B35" s="44"/>
      <c r="C35" s="56"/>
      <c r="D35" s="44"/>
      <c r="E35" s="46"/>
      <c r="F35" s="125"/>
      <c r="G35" s="11">
        <f t="shared" si="9"/>
        <v>48</v>
      </c>
      <c r="H35" s="44"/>
      <c r="I35" s="44"/>
      <c r="J35" s="44"/>
      <c r="K35" s="46"/>
      <c r="L35" s="45"/>
    </row>
    <row r="36" spans="1:12" ht="20.45" customHeight="1" x14ac:dyDescent="0.3">
      <c r="A36" s="10">
        <f t="shared" si="10"/>
        <v>19</v>
      </c>
      <c r="B36" s="56"/>
      <c r="C36" s="56"/>
      <c r="D36" s="56"/>
      <c r="E36" s="58"/>
      <c r="F36" s="116"/>
      <c r="G36" s="11">
        <f t="shared" si="9"/>
        <v>49</v>
      </c>
      <c r="H36" s="44"/>
      <c r="I36" s="44"/>
      <c r="J36" s="44"/>
      <c r="K36" s="46"/>
      <c r="L36" s="45"/>
    </row>
    <row r="37" spans="1:12" ht="20.45" customHeight="1" x14ac:dyDescent="0.3">
      <c r="A37" s="10">
        <f t="shared" si="10"/>
        <v>20</v>
      </c>
      <c r="B37" s="56"/>
      <c r="C37" s="56"/>
      <c r="D37" s="56"/>
      <c r="E37" s="58"/>
      <c r="F37" s="116"/>
      <c r="G37" s="11">
        <f t="shared" si="9"/>
        <v>50</v>
      </c>
      <c r="H37" s="44"/>
      <c r="I37" s="44"/>
      <c r="J37" s="44"/>
      <c r="K37" s="46"/>
      <c r="L37" s="45"/>
    </row>
    <row r="38" spans="1:12" ht="20.45" customHeight="1" x14ac:dyDescent="0.3">
      <c r="A38" s="10">
        <f t="shared" si="10"/>
        <v>21</v>
      </c>
      <c r="B38" s="56"/>
      <c r="C38" s="56"/>
      <c r="D38" s="56"/>
      <c r="E38" s="58"/>
      <c r="F38" s="61"/>
      <c r="G38" s="11">
        <f t="shared" si="9"/>
        <v>51</v>
      </c>
      <c r="H38" s="44"/>
      <c r="I38" s="44"/>
      <c r="J38" s="44"/>
      <c r="K38" s="46"/>
      <c r="L38" s="45"/>
    </row>
    <row r="39" spans="1:12" ht="20.45" customHeight="1" x14ac:dyDescent="0.3">
      <c r="A39" s="10">
        <f t="shared" si="10"/>
        <v>22</v>
      </c>
      <c r="B39" s="59"/>
      <c r="C39" s="59"/>
      <c r="D39" s="56"/>
      <c r="E39" s="58"/>
      <c r="F39" s="61"/>
      <c r="G39" s="11">
        <f t="shared" si="9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10"/>
        <v>23</v>
      </c>
      <c r="B40" s="56"/>
      <c r="C40" s="56"/>
      <c r="D40" s="56"/>
      <c r="E40" s="58"/>
      <c r="F40" s="61"/>
      <c r="G40" s="11">
        <f t="shared" si="9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0"/>
        <v>24</v>
      </c>
      <c r="B41" s="56"/>
      <c r="C41" s="56"/>
      <c r="D41" s="56"/>
      <c r="E41" s="58"/>
      <c r="F41" s="61"/>
      <c r="G41" s="11">
        <f t="shared" si="9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116"/>
      <c r="G42" s="11">
        <f t="shared" si="9"/>
        <v>55</v>
      </c>
      <c r="H42" s="56"/>
      <c r="I42" s="56"/>
      <c r="J42" s="56"/>
      <c r="K42" s="58"/>
      <c r="L42" s="61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61"/>
      <c r="G43" s="11">
        <f t="shared" si="9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61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61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61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17">
        <f t="shared" si="10"/>
        <v>30</v>
      </c>
      <c r="B47" s="112"/>
      <c r="C47" s="112"/>
      <c r="D47" s="112"/>
      <c r="E47" s="113"/>
      <c r="F47" s="115"/>
      <c r="G47" s="121">
        <f t="shared" si="9"/>
        <v>60</v>
      </c>
      <c r="H47" s="122"/>
      <c r="I47" s="122"/>
      <c r="J47" s="122"/>
      <c r="K47" s="123"/>
      <c r="L47" s="124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7:F47">
    <sortCondition ref="E27:E47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64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986DA-9B41-453F-B378-5B9485C6464F}">
  <sheetPr codeName="Sheet29">
    <tabColor rgb="FFFFFFFF"/>
  </sheetPr>
  <dimension ref="A1:N52"/>
  <sheetViews>
    <sheetView showGridLines="0" view="pageBreakPreview" zoomScaleNormal="100" zoomScaleSheetLayoutView="100" workbookViewId="0">
      <selection activeCell="A12" sqref="A12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'261027'!C5:F5+1</f>
        <v>46323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'261027'!F8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'261027'!L8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'261027'!F9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'261027'!L9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'261027'!F10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'261027'!L10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'261027'!F11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'261027'!L11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'261027'!F12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'261027'!L12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'261027'!F13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'261027'!L13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'261027'!F14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'261027'!L14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58"/>
      <c r="G20" s="11">
        <f t="shared" ref="G20:G47" si="9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58"/>
      <c r="G21" s="11">
        <f t="shared" si="9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116"/>
      <c r="G22" s="11">
        <f t="shared" si="9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116"/>
      <c r="G23" s="11">
        <f t="shared" si="9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125"/>
      <c r="G24" s="11">
        <f t="shared" si="9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125"/>
      <c r="G25" s="11">
        <f t="shared" si="9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8"/>
        <v>9</v>
      </c>
      <c r="B26" s="56"/>
      <c r="C26" s="56"/>
      <c r="D26" s="56"/>
      <c r="E26" s="58"/>
      <c r="F26" s="116"/>
      <c r="G26" s="11">
        <f t="shared" si="9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8"/>
        <v>10</v>
      </c>
      <c r="B27" s="59"/>
      <c r="C27" s="59"/>
      <c r="D27" s="59"/>
      <c r="E27" s="58"/>
      <c r="F27" s="116"/>
      <c r="G27" s="11">
        <f t="shared" si="9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8"/>
        <v>11</v>
      </c>
      <c r="B28" s="59"/>
      <c r="C28" s="59"/>
      <c r="D28" s="59"/>
      <c r="E28" s="119"/>
      <c r="F28" s="120"/>
      <c r="G28" s="11">
        <f t="shared" si="9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8"/>
        <v>12</v>
      </c>
      <c r="B29" s="56"/>
      <c r="C29" s="56"/>
      <c r="D29" s="56"/>
      <c r="E29" s="58"/>
      <c r="F29" s="125"/>
      <c r="G29" s="11">
        <f t="shared" si="9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125"/>
      <c r="G30" s="11">
        <f t="shared" si="9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8"/>
        <v>14</v>
      </c>
      <c r="B31" s="56"/>
      <c r="C31" s="56"/>
      <c r="D31" s="56"/>
      <c r="E31" s="58"/>
      <c r="F31" s="125"/>
      <c r="G31" s="11">
        <f t="shared" si="9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11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0">A32+1</f>
        <v>16</v>
      </c>
      <c r="B33" s="44"/>
      <c r="C33" s="56"/>
      <c r="D33" s="44"/>
      <c r="E33" s="46"/>
      <c r="F33" s="125"/>
      <c r="G33" s="11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56"/>
      <c r="C34" s="56"/>
      <c r="D34" s="56"/>
      <c r="E34" s="58"/>
      <c r="F34" s="116"/>
      <c r="G34" s="11">
        <f t="shared" si="9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10"/>
        <v>18</v>
      </c>
      <c r="B35" s="56"/>
      <c r="C35" s="56"/>
      <c r="D35" s="56"/>
      <c r="E35" s="58"/>
      <c r="F35" s="116"/>
      <c r="G35" s="11">
        <f t="shared" si="9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10"/>
        <v>19</v>
      </c>
      <c r="B36" s="56"/>
      <c r="C36" s="56"/>
      <c r="D36" s="56"/>
      <c r="E36" s="58"/>
      <c r="F36" s="116"/>
      <c r="G36" s="11">
        <f t="shared" si="9"/>
        <v>49</v>
      </c>
      <c r="H36" s="44"/>
      <c r="I36" s="44"/>
      <c r="J36" s="44"/>
      <c r="K36" s="46"/>
      <c r="L36" s="45"/>
    </row>
    <row r="37" spans="1:12" ht="20.45" customHeight="1" x14ac:dyDescent="0.3">
      <c r="A37" s="10">
        <f t="shared" si="10"/>
        <v>20</v>
      </c>
      <c r="B37" s="56"/>
      <c r="C37" s="56"/>
      <c r="D37" s="56"/>
      <c r="E37" s="58"/>
      <c r="F37" s="116"/>
      <c r="G37" s="11">
        <f t="shared" si="9"/>
        <v>50</v>
      </c>
      <c r="H37" s="56"/>
      <c r="I37" s="56"/>
      <c r="J37" s="56"/>
      <c r="K37" s="46"/>
      <c r="L37" s="45"/>
    </row>
    <row r="38" spans="1:12" ht="20.45" customHeight="1" x14ac:dyDescent="0.3">
      <c r="A38" s="10">
        <f t="shared" si="10"/>
        <v>21</v>
      </c>
      <c r="B38" s="56"/>
      <c r="C38" s="56"/>
      <c r="D38" s="56"/>
      <c r="E38" s="58"/>
      <c r="F38" s="116"/>
      <c r="G38" s="11">
        <f t="shared" si="9"/>
        <v>51</v>
      </c>
      <c r="H38" s="56"/>
      <c r="I38" s="56"/>
      <c r="J38" s="56"/>
      <c r="K38" s="46"/>
      <c r="L38" s="45"/>
    </row>
    <row r="39" spans="1:12" ht="20.45" customHeight="1" x14ac:dyDescent="0.3">
      <c r="A39" s="10">
        <f t="shared" si="10"/>
        <v>22</v>
      </c>
      <c r="B39" s="56"/>
      <c r="C39" s="56"/>
      <c r="D39" s="56"/>
      <c r="E39" s="58"/>
      <c r="F39" s="116"/>
      <c r="G39" s="11">
        <f t="shared" si="9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10"/>
        <v>23</v>
      </c>
      <c r="B40" s="56"/>
      <c r="C40" s="56"/>
      <c r="D40" s="56"/>
      <c r="E40" s="58"/>
      <c r="F40" s="61"/>
      <c r="G40" s="11">
        <f t="shared" si="9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0"/>
        <v>24</v>
      </c>
      <c r="B41" s="56"/>
      <c r="C41" s="56"/>
      <c r="D41" s="56"/>
      <c r="E41" s="58"/>
      <c r="F41" s="61"/>
      <c r="G41" s="11">
        <f t="shared" si="9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61"/>
      <c r="G42" s="11">
        <f t="shared" si="9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61"/>
      <c r="G43" s="11">
        <f t="shared" si="9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61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61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61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17">
        <f t="shared" si="10"/>
        <v>30</v>
      </c>
      <c r="B47" s="112"/>
      <c r="C47" s="112"/>
      <c r="D47" s="112"/>
      <c r="E47" s="113"/>
      <c r="F47" s="115"/>
      <c r="G47" s="121">
        <f t="shared" si="9"/>
        <v>60</v>
      </c>
      <c r="H47" s="122"/>
      <c r="I47" s="122"/>
      <c r="J47" s="122"/>
      <c r="K47" s="123"/>
      <c r="L47" s="124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4:F28">
    <sortCondition ref="E24:E28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2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954EF-358A-4FCF-BBE8-D2F08A1D959B}">
  <sheetPr codeName="Sheet30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'261028'!C5:F5+1</f>
        <v>46324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81">
        <f t="shared" ref="C8:C14" si="0">COUNTIF($B$18:$B$47,$B8)+COUNTIF($H$18:$H$47,$B8)</f>
        <v>0</v>
      </c>
      <c r="D8" s="182"/>
      <c r="E8" s="43">
        <f>'261028'!F8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81">
        <f t="shared" ref="I8:I14" si="2">COUNTIF($B$18:$B$47,$H8)+COUNTIF($H$18:$H$47,$H8)</f>
        <v>0</v>
      </c>
      <c r="J8" s="182"/>
      <c r="K8" s="42">
        <f>'261028'!L8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'261028'!F9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'261028'!L9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'261028'!F10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'261028'!L10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'261028'!F11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'261028'!L11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'261028'!F12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'261028'!L12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'261028'!F13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'261028'!L13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79">
        <f t="shared" si="0"/>
        <v>0</v>
      </c>
      <c r="D14" s="180"/>
      <c r="E14" s="39">
        <f>'261028'!F14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79">
        <f t="shared" si="2"/>
        <v>0</v>
      </c>
      <c r="J14" s="180"/>
      <c r="K14" s="40">
        <f>'261028'!L14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125"/>
      <c r="G20" s="11">
        <f t="shared" ref="G20:G47" si="9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58"/>
      <c r="G21" s="11">
        <f t="shared" si="9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58"/>
      <c r="G22" s="11">
        <f t="shared" si="9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58"/>
      <c r="G23" s="11">
        <f t="shared" si="9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58"/>
      <c r="G24" s="11">
        <f t="shared" si="9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125"/>
      <c r="G25" s="11">
        <f t="shared" si="9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8"/>
        <v>9</v>
      </c>
      <c r="B26" s="56"/>
      <c r="C26" s="56"/>
      <c r="D26" s="56"/>
      <c r="E26" s="58"/>
      <c r="F26" s="116"/>
      <c r="G26" s="11">
        <f t="shared" si="9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8"/>
        <v>10</v>
      </c>
      <c r="B27" s="59"/>
      <c r="C27" s="59"/>
      <c r="D27" s="59"/>
      <c r="E27" s="58"/>
      <c r="F27" s="116"/>
      <c r="G27" s="11">
        <f t="shared" si="9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8"/>
        <v>11</v>
      </c>
      <c r="B28" s="59"/>
      <c r="C28" s="59"/>
      <c r="D28" s="59"/>
      <c r="E28" s="119"/>
      <c r="F28" s="120"/>
      <c r="G28" s="11">
        <f t="shared" si="9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8"/>
        <v>12</v>
      </c>
      <c r="B29" s="56"/>
      <c r="C29" s="56"/>
      <c r="D29" s="56"/>
      <c r="E29" s="58"/>
      <c r="F29" s="125"/>
      <c r="G29" s="11">
        <f t="shared" si="9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125"/>
      <c r="G30" s="11">
        <f t="shared" si="9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8"/>
        <v>14</v>
      </c>
      <c r="B31" s="56"/>
      <c r="C31" s="56"/>
      <c r="D31" s="56"/>
      <c r="E31" s="58"/>
      <c r="F31" s="125"/>
      <c r="G31" s="11">
        <f t="shared" si="9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11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0">A32+1</f>
        <v>16</v>
      </c>
      <c r="B33" s="44"/>
      <c r="C33" s="56"/>
      <c r="D33" s="44"/>
      <c r="E33" s="46"/>
      <c r="F33" s="125"/>
      <c r="G33" s="11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56"/>
      <c r="C34" s="56"/>
      <c r="D34" s="56"/>
      <c r="E34" s="58"/>
      <c r="F34" s="116"/>
      <c r="G34" s="11">
        <f t="shared" si="9"/>
        <v>47</v>
      </c>
      <c r="H34" s="56"/>
      <c r="I34" s="56"/>
      <c r="J34" s="56"/>
      <c r="K34" s="46"/>
      <c r="L34" s="45"/>
    </row>
    <row r="35" spans="1:12" ht="20.45" customHeight="1" x14ac:dyDescent="0.3">
      <c r="A35" s="10">
        <f t="shared" si="10"/>
        <v>18</v>
      </c>
      <c r="B35" s="56"/>
      <c r="C35" s="56"/>
      <c r="D35" s="56"/>
      <c r="E35" s="58"/>
      <c r="F35" s="116"/>
      <c r="G35" s="11">
        <f t="shared" si="9"/>
        <v>48</v>
      </c>
      <c r="H35" s="56"/>
      <c r="I35" s="56"/>
      <c r="J35" s="56"/>
      <c r="K35" s="46"/>
      <c r="L35" s="45"/>
    </row>
    <row r="36" spans="1:12" ht="20.45" customHeight="1" x14ac:dyDescent="0.3">
      <c r="A36" s="10">
        <f t="shared" si="10"/>
        <v>19</v>
      </c>
      <c r="B36" s="56"/>
      <c r="C36" s="56"/>
      <c r="D36" s="56"/>
      <c r="E36" s="58"/>
      <c r="F36" s="116"/>
      <c r="G36" s="11">
        <f t="shared" si="9"/>
        <v>49</v>
      </c>
      <c r="H36" s="56"/>
      <c r="I36" s="56"/>
      <c r="J36" s="56"/>
      <c r="K36" s="46"/>
      <c r="L36" s="45"/>
    </row>
    <row r="37" spans="1:12" ht="20.45" customHeight="1" x14ac:dyDescent="0.3">
      <c r="A37" s="10">
        <f t="shared" si="10"/>
        <v>20</v>
      </c>
      <c r="B37" s="56"/>
      <c r="C37" s="56"/>
      <c r="D37" s="56"/>
      <c r="E37" s="58"/>
      <c r="F37" s="116"/>
      <c r="G37" s="11">
        <f t="shared" si="9"/>
        <v>50</v>
      </c>
      <c r="H37" s="56"/>
      <c r="I37" s="56"/>
      <c r="J37" s="56"/>
      <c r="K37" s="46"/>
      <c r="L37" s="45"/>
    </row>
    <row r="38" spans="1:12" ht="20.45" customHeight="1" x14ac:dyDescent="0.3">
      <c r="A38" s="10">
        <f t="shared" si="10"/>
        <v>21</v>
      </c>
      <c r="B38" s="56"/>
      <c r="C38" s="56"/>
      <c r="D38" s="56"/>
      <c r="E38" s="58"/>
      <c r="F38" s="61"/>
      <c r="G38" s="11">
        <f t="shared" si="9"/>
        <v>51</v>
      </c>
      <c r="H38" s="44"/>
      <c r="I38" s="44"/>
      <c r="J38" s="44"/>
      <c r="K38" s="46"/>
      <c r="L38" s="45"/>
    </row>
    <row r="39" spans="1:12" ht="20.45" customHeight="1" x14ac:dyDescent="0.3">
      <c r="A39" s="10">
        <f t="shared" si="10"/>
        <v>22</v>
      </c>
      <c r="B39" s="56"/>
      <c r="C39" s="56"/>
      <c r="D39" s="56"/>
      <c r="E39" s="58"/>
      <c r="F39" s="61"/>
      <c r="G39" s="11">
        <f t="shared" si="9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10"/>
        <v>23</v>
      </c>
      <c r="B40" s="56"/>
      <c r="C40" s="56"/>
      <c r="D40" s="56"/>
      <c r="E40" s="58"/>
      <c r="F40" s="61"/>
      <c r="G40" s="11">
        <f t="shared" si="9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0"/>
        <v>24</v>
      </c>
      <c r="B41" s="56"/>
      <c r="C41" s="56"/>
      <c r="D41" s="56"/>
      <c r="E41" s="58"/>
      <c r="F41" s="61"/>
      <c r="G41" s="11">
        <f t="shared" si="9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61"/>
      <c r="G42" s="11">
        <f t="shared" si="9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61"/>
      <c r="G43" s="11">
        <f t="shared" si="9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61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61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61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17">
        <f t="shared" si="10"/>
        <v>30</v>
      </c>
      <c r="B47" s="112"/>
      <c r="C47" s="112"/>
      <c r="D47" s="112"/>
      <c r="E47" s="113"/>
      <c r="F47" s="115"/>
      <c r="G47" s="121">
        <f t="shared" si="9"/>
        <v>60</v>
      </c>
      <c r="H47" s="122"/>
      <c r="I47" s="122"/>
      <c r="J47" s="122"/>
      <c r="K47" s="123"/>
      <c r="L47" s="124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31:F37">
    <sortCondition ref="E31:E37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64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3B112-6F90-43EB-973E-C1C6D9650FA5}">
  <sheetPr codeName="Sheet31">
    <tabColor rgb="FFFFFFFF"/>
  </sheetPr>
  <dimension ref="A1:N52"/>
  <sheetViews>
    <sheetView showGridLines="0" view="pageBreakPreview" zoomScaleNormal="100" zoomScaleSheetLayoutView="100" workbookViewId="0">
      <selection activeCell="A13" sqref="A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52" t="s">
        <v>11</v>
      </c>
      <c r="B1" s="153"/>
      <c r="C1" s="153"/>
      <c r="D1" s="153"/>
      <c r="E1" s="153"/>
      <c r="F1" s="153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4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'261029'!C5:F5+1</f>
        <v>46325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'261029'!F8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4" si="2">COUNTIF($B$18:$B$47,$H8)+COUNTIF($H$18:$H$47,$H8)</f>
        <v>0</v>
      </c>
      <c r="J8" s="147"/>
      <c r="K8" s="42">
        <f>'261029'!L8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'261029'!F9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'261029'!L9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'261029'!F10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'261029'!L10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'261029'!F11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'261029'!L11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'261029'!F12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'261029'!L12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'261029'!F13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'261029'!L13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'261029'!F14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>
        <f t="shared" si="2"/>
        <v>0</v>
      </c>
      <c r="J14" s="150"/>
      <c r="K14" s="40">
        <f>'261029'!L14</f>
        <v>0</v>
      </c>
      <c r="L14" s="40">
        <f t="shared" ref="L14" si="7">I14+K14</f>
        <v>0</v>
      </c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8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8"/>
        <v>3</v>
      </c>
      <c r="B20" s="56"/>
      <c r="C20" s="56"/>
      <c r="D20" s="56"/>
      <c r="E20" s="58"/>
      <c r="F20" s="58"/>
      <c r="G20" s="11">
        <f t="shared" ref="G20:G47" si="9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8"/>
        <v>4</v>
      </c>
      <c r="B21" s="56"/>
      <c r="C21" s="56"/>
      <c r="D21" s="56"/>
      <c r="E21" s="58"/>
      <c r="F21" s="58"/>
      <c r="G21" s="11">
        <f t="shared" si="9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8"/>
        <v>5</v>
      </c>
      <c r="B22" s="56"/>
      <c r="C22" s="56"/>
      <c r="D22" s="56"/>
      <c r="E22" s="58"/>
      <c r="F22" s="58"/>
      <c r="G22" s="11">
        <f t="shared" si="9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8"/>
        <v>6</v>
      </c>
      <c r="B23" s="56"/>
      <c r="C23" s="56"/>
      <c r="D23" s="56"/>
      <c r="E23" s="58"/>
      <c r="F23" s="58"/>
      <c r="G23" s="11">
        <f t="shared" si="9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8"/>
        <v>7</v>
      </c>
      <c r="B24" s="56"/>
      <c r="C24" s="56"/>
      <c r="D24" s="56"/>
      <c r="E24" s="58"/>
      <c r="F24" s="116"/>
      <c r="G24" s="11">
        <f t="shared" si="9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8"/>
        <v>8</v>
      </c>
      <c r="B25" s="56"/>
      <c r="C25" s="56"/>
      <c r="D25" s="56"/>
      <c r="E25" s="58"/>
      <c r="F25" s="116"/>
      <c r="G25" s="11">
        <f t="shared" si="9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8"/>
        <v>9</v>
      </c>
      <c r="B26" s="59"/>
      <c r="C26" s="59"/>
      <c r="D26" s="59"/>
      <c r="E26" s="119"/>
      <c r="F26" s="120"/>
      <c r="G26" s="11">
        <f t="shared" si="9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8"/>
        <v>10</v>
      </c>
      <c r="B27" s="56"/>
      <c r="C27" s="56"/>
      <c r="D27" s="56"/>
      <c r="E27" s="58"/>
      <c r="F27" s="125"/>
      <c r="G27" s="11">
        <f t="shared" si="9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8"/>
        <v>11</v>
      </c>
      <c r="B28" s="56"/>
      <c r="C28" s="56"/>
      <c r="D28" s="56"/>
      <c r="E28" s="58"/>
      <c r="F28" s="125"/>
      <c r="G28" s="11">
        <f t="shared" si="9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8"/>
        <v>12</v>
      </c>
      <c r="B29" s="56"/>
      <c r="C29" s="56"/>
      <c r="D29" s="56"/>
      <c r="E29" s="58"/>
      <c r="F29" s="125"/>
      <c r="G29" s="11">
        <f t="shared" si="9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8"/>
        <v>13</v>
      </c>
      <c r="B30" s="56"/>
      <c r="C30" s="56"/>
      <c r="D30" s="56"/>
      <c r="E30" s="58"/>
      <c r="F30" s="125"/>
      <c r="G30" s="11">
        <f t="shared" si="9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8"/>
        <v>14</v>
      </c>
      <c r="B31" s="56"/>
      <c r="C31" s="56"/>
      <c r="D31" s="56"/>
      <c r="E31" s="58"/>
      <c r="F31" s="125"/>
      <c r="G31" s="11">
        <f t="shared" si="9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9"/>
      <c r="C32" s="59"/>
      <c r="D32" s="59"/>
      <c r="E32" s="58"/>
      <c r="F32" s="125"/>
      <c r="G32" s="11">
        <f t="shared" si="9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10">A32+1</f>
        <v>16</v>
      </c>
      <c r="B33" s="44"/>
      <c r="C33" s="56"/>
      <c r="D33" s="44"/>
      <c r="E33" s="46"/>
      <c r="F33" s="125"/>
      <c r="G33" s="11">
        <f t="shared" si="9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10"/>
        <v>17</v>
      </c>
      <c r="B34" s="56"/>
      <c r="C34" s="56"/>
      <c r="D34" s="56"/>
      <c r="E34" s="58"/>
      <c r="F34" s="116"/>
      <c r="G34" s="11">
        <f t="shared" si="9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10"/>
        <v>18</v>
      </c>
      <c r="B35" s="56"/>
      <c r="C35" s="56"/>
      <c r="D35" s="56"/>
      <c r="E35" s="58"/>
      <c r="F35" s="116"/>
      <c r="G35" s="11">
        <f t="shared" si="9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10"/>
        <v>19</v>
      </c>
      <c r="B36" s="56"/>
      <c r="C36" s="56"/>
      <c r="D36" s="56"/>
      <c r="E36" s="58"/>
      <c r="F36" s="116"/>
      <c r="G36" s="11">
        <f t="shared" si="9"/>
        <v>49</v>
      </c>
      <c r="H36" s="56"/>
      <c r="I36" s="56"/>
      <c r="J36" s="56"/>
      <c r="K36" s="58"/>
      <c r="L36" s="45"/>
    </row>
    <row r="37" spans="1:12" ht="20.45" customHeight="1" x14ac:dyDescent="0.3">
      <c r="A37" s="10">
        <f t="shared" si="10"/>
        <v>20</v>
      </c>
      <c r="B37" s="56"/>
      <c r="C37" s="56"/>
      <c r="D37" s="56"/>
      <c r="E37" s="58"/>
      <c r="F37" s="116"/>
      <c r="G37" s="11">
        <f t="shared" si="9"/>
        <v>50</v>
      </c>
      <c r="H37" s="56"/>
      <c r="I37" s="56"/>
      <c r="J37" s="56"/>
      <c r="K37" s="58"/>
      <c r="L37" s="61"/>
    </row>
    <row r="38" spans="1:12" ht="20.45" customHeight="1" x14ac:dyDescent="0.3">
      <c r="A38" s="10">
        <f t="shared" si="10"/>
        <v>21</v>
      </c>
      <c r="B38" s="56"/>
      <c r="C38" s="56"/>
      <c r="D38" s="56"/>
      <c r="E38" s="58"/>
      <c r="F38" s="61"/>
      <c r="G38" s="11">
        <f t="shared" si="9"/>
        <v>51</v>
      </c>
      <c r="H38" s="44"/>
      <c r="I38" s="44"/>
      <c r="J38" s="44"/>
      <c r="K38" s="46"/>
      <c r="L38" s="45"/>
    </row>
    <row r="39" spans="1:12" ht="20.45" customHeight="1" x14ac:dyDescent="0.3">
      <c r="A39" s="10">
        <f t="shared" si="10"/>
        <v>22</v>
      </c>
      <c r="B39" s="56"/>
      <c r="C39" s="56"/>
      <c r="D39" s="56"/>
      <c r="E39" s="58"/>
      <c r="F39" s="61"/>
      <c r="G39" s="11">
        <f t="shared" si="9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10"/>
        <v>23</v>
      </c>
      <c r="B40" s="56"/>
      <c r="C40" s="56"/>
      <c r="D40" s="56"/>
      <c r="E40" s="58"/>
      <c r="F40" s="61"/>
      <c r="G40" s="11">
        <f t="shared" si="9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10"/>
        <v>24</v>
      </c>
      <c r="B41" s="56"/>
      <c r="C41" s="56"/>
      <c r="D41" s="56"/>
      <c r="E41" s="58"/>
      <c r="F41" s="61"/>
      <c r="G41" s="11">
        <f t="shared" si="9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10"/>
        <v>25</v>
      </c>
      <c r="B42" s="56"/>
      <c r="C42" s="56"/>
      <c r="D42" s="56"/>
      <c r="E42" s="58"/>
      <c r="F42" s="61"/>
      <c r="G42" s="11">
        <f t="shared" si="9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10"/>
        <v>26</v>
      </c>
      <c r="B43" s="56"/>
      <c r="C43" s="56"/>
      <c r="D43" s="56"/>
      <c r="E43" s="58"/>
      <c r="F43" s="61"/>
      <c r="G43" s="11">
        <f t="shared" si="9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10"/>
        <v>27</v>
      </c>
      <c r="B44" s="56"/>
      <c r="C44" s="56"/>
      <c r="D44" s="56"/>
      <c r="E44" s="58"/>
      <c r="F44" s="61"/>
      <c r="G44" s="11">
        <f t="shared" si="9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10"/>
        <v>28</v>
      </c>
      <c r="B45" s="56"/>
      <c r="C45" s="56"/>
      <c r="D45" s="56"/>
      <c r="E45" s="58"/>
      <c r="F45" s="61"/>
      <c r="G45" s="11">
        <f t="shared" si="9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10"/>
        <v>29</v>
      </c>
      <c r="B46" s="56"/>
      <c r="C46" s="56"/>
      <c r="D46" s="56"/>
      <c r="E46" s="58"/>
      <c r="F46" s="61"/>
      <c r="G46" s="11">
        <f t="shared" si="9"/>
        <v>59</v>
      </c>
      <c r="H46" s="44"/>
      <c r="I46" s="44"/>
      <c r="J46" s="44"/>
      <c r="K46" s="46"/>
      <c r="L46" s="45"/>
    </row>
    <row r="47" spans="1:12" ht="20.45" customHeight="1" x14ac:dyDescent="0.3">
      <c r="A47" s="117">
        <f t="shared" si="10"/>
        <v>30</v>
      </c>
      <c r="B47" s="112"/>
      <c r="C47" s="112"/>
      <c r="D47" s="112"/>
      <c r="E47" s="113"/>
      <c r="F47" s="113"/>
      <c r="G47" s="121">
        <f t="shared" si="9"/>
        <v>60</v>
      </c>
      <c r="H47" s="122"/>
      <c r="I47" s="122"/>
      <c r="J47" s="122"/>
      <c r="K47" s="123"/>
      <c r="L47" s="124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sortState xmlns:xlrd2="http://schemas.microsoft.com/office/spreadsheetml/2017/richdata2" ref="B23:F42">
    <sortCondition ref="E24:E42"/>
  </sortState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64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C3AC0-2C70-4ACE-A7F2-17961E7A6544}">
  <sheetPr codeName="Sheet32">
    <tabColor rgb="FFFFFFFF"/>
  </sheetPr>
  <dimension ref="A1:N52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24.95" customHeight="1" x14ac:dyDescent="0.3"/>
  <cols>
    <col min="1" max="1" width="4.625" style="1" customWidth="1"/>
    <col min="2" max="2" width="12.625" style="1" customWidth="1"/>
    <col min="3" max="4" width="8.625" style="1" customWidth="1"/>
    <col min="5" max="6" width="16.625" style="1" customWidth="1"/>
    <col min="7" max="7" width="4.625" style="1" customWidth="1"/>
    <col min="8" max="8" width="12.625" style="1" customWidth="1"/>
    <col min="9" max="10" width="8.625" style="1" customWidth="1"/>
    <col min="11" max="12" width="16.625" style="1" customWidth="1"/>
    <col min="13" max="16384" width="9" style="1"/>
  </cols>
  <sheetData>
    <row r="1" spans="1:14" ht="24.95" customHeight="1" x14ac:dyDescent="0.3">
      <c r="A1" s="162" t="s">
        <v>11</v>
      </c>
      <c r="B1" s="162"/>
      <c r="C1" s="162"/>
      <c r="D1" s="162"/>
      <c r="E1" s="162"/>
      <c r="F1" s="162"/>
      <c r="G1" s="138" t="s">
        <v>24</v>
      </c>
      <c r="H1" s="138"/>
      <c r="I1" s="138" t="s">
        <v>25</v>
      </c>
      <c r="J1" s="138"/>
      <c r="K1" s="50" t="s">
        <v>26</v>
      </c>
      <c r="L1" s="51" t="s">
        <v>27</v>
      </c>
    </row>
    <row r="2" spans="1:14" ht="24.95" customHeight="1" x14ac:dyDescent="0.3">
      <c r="A2" s="155"/>
      <c r="B2" s="155"/>
      <c r="C2" s="155"/>
      <c r="D2" s="155"/>
      <c r="E2" s="155"/>
      <c r="F2" s="155"/>
      <c r="G2" s="139"/>
      <c r="H2" s="139"/>
      <c r="I2" s="139"/>
      <c r="J2" s="139"/>
      <c r="K2" s="139"/>
      <c r="L2" s="139"/>
    </row>
    <row r="3" spans="1:14" ht="21.95" customHeight="1" x14ac:dyDescent="0.3">
      <c r="A3" s="156" t="s">
        <v>13</v>
      </c>
      <c r="B3" s="156"/>
      <c r="C3" s="158" t="s">
        <v>22</v>
      </c>
      <c r="D3" s="159"/>
      <c r="E3" s="159"/>
      <c r="F3" s="159"/>
      <c r="G3" s="140"/>
      <c r="H3" s="140"/>
      <c r="I3" s="140"/>
      <c r="J3" s="140"/>
      <c r="K3" s="140"/>
      <c r="L3" s="140"/>
    </row>
    <row r="4" spans="1:14" ht="21.95" customHeight="1" x14ac:dyDescent="0.3">
      <c r="A4" s="156" t="s">
        <v>21</v>
      </c>
      <c r="B4" s="156"/>
      <c r="C4" s="158" t="s">
        <v>23</v>
      </c>
      <c r="D4" s="159"/>
      <c r="E4" s="159"/>
      <c r="F4" s="159"/>
      <c r="G4" s="140"/>
      <c r="H4" s="140"/>
      <c r="I4" s="140"/>
      <c r="J4" s="140"/>
      <c r="K4" s="140"/>
      <c r="L4" s="140"/>
    </row>
    <row r="5" spans="1:14" ht="21.95" customHeight="1" x14ac:dyDescent="0.3">
      <c r="A5" s="157" t="s">
        <v>20</v>
      </c>
      <c r="B5" s="157"/>
      <c r="C5" s="160">
        <f>'261030'!C5:F5+1</f>
        <v>46326</v>
      </c>
      <c r="D5" s="161"/>
      <c r="E5" s="161"/>
      <c r="F5" s="161"/>
      <c r="G5" s="141"/>
      <c r="H5" s="141"/>
      <c r="I5" s="141"/>
      <c r="J5" s="141"/>
      <c r="K5" s="141"/>
      <c r="L5" s="141"/>
    </row>
    <row r="6" spans="1:14" ht="24.95" customHeight="1" x14ac:dyDescent="0.3">
      <c r="A6" s="149" t="s">
        <v>6</v>
      </c>
      <c r="B6" s="149"/>
      <c r="C6" s="149"/>
      <c r="D6" s="149"/>
      <c r="E6" s="149"/>
      <c r="F6" s="149"/>
      <c r="G6" s="148" t="s">
        <v>6</v>
      </c>
      <c r="H6" s="149"/>
      <c r="I6" s="149"/>
      <c r="J6" s="149"/>
      <c r="K6" s="149"/>
      <c r="L6" s="149"/>
      <c r="N6" s="2">
        <f>SUM(C8:D14,I8:J14)</f>
        <v>0</v>
      </c>
    </row>
    <row r="7" spans="1:14" ht="21.95" customHeight="1" x14ac:dyDescent="0.3">
      <c r="A7" s="41" t="s">
        <v>0</v>
      </c>
      <c r="B7" s="41" t="s">
        <v>1</v>
      </c>
      <c r="C7" s="146" t="s">
        <v>7</v>
      </c>
      <c r="D7" s="146"/>
      <c r="E7" s="41" t="s">
        <v>8</v>
      </c>
      <c r="F7" s="41" t="s">
        <v>9</v>
      </c>
      <c r="G7" s="6" t="s">
        <v>0</v>
      </c>
      <c r="H7" s="41" t="s">
        <v>1</v>
      </c>
      <c r="I7" s="146" t="s">
        <v>7</v>
      </c>
      <c r="J7" s="146"/>
      <c r="K7" s="41" t="s">
        <v>8</v>
      </c>
      <c r="L7" s="41" t="s">
        <v>9</v>
      </c>
      <c r="N7" s="2">
        <f>COUNTIF(C18:C47,I18:I47)</f>
        <v>0</v>
      </c>
    </row>
    <row r="8" spans="1:14" ht="21.95" customHeight="1" x14ac:dyDescent="0.3">
      <c r="A8" s="3">
        <v>1</v>
      </c>
      <c r="B8" s="28" t="str">
        <f>'261001'!B8</f>
        <v>소장</v>
      </c>
      <c r="C8" s="147">
        <f t="shared" ref="C8:C14" si="0">COUNTIF($B$18:$B$47,$B8)+COUNTIF($H$18:$H$47,$B8)</f>
        <v>0</v>
      </c>
      <c r="D8" s="147"/>
      <c r="E8" s="43">
        <f>'261030'!F8</f>
        <v>0</v>
      </c>
      <c r="F8" s="42">
        <f t="shared" ref="F8:F13" si="1">C8+E8</f>
        <v>0</v>
      </c>
      <c r="G8" s="7">
        <v>8</v>
      </c>
      <c r="H8" s="31" t="str">
        <f>'261001'!H8</f>
        <v>몰딩</v>
      </c>
      <c r="I8" s="147">
        <f t="shared" ref="I8:I13" si="2">COUNTIF($B$18:$B$47,$H8)+COUNTIF($H$18:$H$47,$H8)</f>
        <v>0</v>
      </c>
      <c r="J8" s="147"/>
      <c r="K8" s="42">
        <f>'261030'!L8</f>
        <v>0</v>
      </c>
      <c r="L8" s="42">
        <f t="shared" ref="L8:L13" si="3">I8+K8</f>
        <v>0</v>
      </c>
    </row>
    <row r="9" spans="1:14" ht="21.95" customHeight="1" x14ac:dyDescent="0.3">
      <c r="A9" s="4">
        <f>A8+1</f>
        <v>2</v>
      </c>
      <c r="B9" s="103" t="str">
        <f>'261001'!B9</f>
        <v>관리자</v>
      </c>
      <c r="C9" s="142">
        <f t="shared" si="0"/>
        <v>0</v>
      </c>
      <c r="D9" s="142"/>
      <c r="E9" s="38">
        <f>'261030'!F9</f>
        <v>0</v>
      </c>
      <c r="F9" s="34">
        <f t="shared" si="1"/>
        <v>0</v>
      </c>
      <c r="G9" s="8">
        <f>G8+1</f>
        <v>9</v>
      </c>
      <c r="H9" s="32" t="str">
        <f>'261001'!H9</f>
        <v>수장</v>
      </c>
      <c r="I9" s="142">
        <f t="shared" si="2"/>
        <v>0</v>
      </c>
      <c r="J9" s="142"/>
      <c r="K9" s="34">
        <f>'261030'!L9</f>
        <v>0</v>
      </c>
      <c r="L9" s="34">
        <f t="shared" si="3"/>
        <v>0</v>
      </c>
    </row>
    <row r="10" spans="1:14" ht="21.95" customHeight="1" x14ac:dyDescent="0.3">
      <c r="A10" s="4">
        <f t="shared" ref="A10:A14" si="4">A9+1</f>
        <v>3</v>
      </c>
      <c r="B10" s="103" t="str">
        <f>'261001'!B10</f>
        <v>직영</v>
      </c>
      <c r="C10" s="142">
        <f t="shared" si="0"/>
        <v>0</v>
      </c>
      <c r="D10" s="142"/>
      <c r="E10" s="38">
        <f>'261030'!F10</f>
        <v>0</v>
      </c>
      <c r="F10" s="34">
        <f t="shared" si="1"/>
        <v>0</v>
      </c>
      <c r="G10" s="8">
        <f t="shared" ref="G10:G14" si="5">G9+1</f>
        <v>10</v>
      </c>
      <c r="H10" s="32" t="str">
        <f>'261001'!H10</f>
        <v>걸레받이</v>
      </c>
      <c r="I10" s="142">
        <f t="shared" si="2"/>
        <v>0</v>
      </c>
      <c r="J10" s="142"/>
      <c r="K10" s="34">
        <f>'261030'!L10</f>
        <v>0</v>
      </c>
      <c r="L10" s="34">
        <f t="shared" si="3"/>
        <v>0</v>
      </c>
    </row>
    <row r="11" spans="1:14" ht="21.95" customHeight="1" x14ac:dyDescent="0.3">
      <c r="A11" s="4">
        <f t="shared" si="4"/>
        <v>4</v>
      </c>
      <c r="B11" s="103" t="str">
        <f>'261001'!B11</f>
        <v>단열</v>
      </c>
      <c r="C11" s="142">
        <f t="shared" si="0"/>
        <v>0</v>
      </c>
      <c r="D11" s="142"/>
      <c r="E11" s="38">
        <f>'261030'!F11</f>
        <v>0</v>
      </c>
      <c r="F11" s="34">
        <f t="shared" si="1"/>
        <v>0</v>
      </c>
      <c r="G11" s="8">
        <f t="shared" si="5"/>
        <v>11</v>
      </c>
      <c r="H11" s="32" t="str">
        <f>'261001'!H11</f>
        <v>아트월</v>
      </c>
      <c r="I11" s="142">
        <f t="shared" si="2"/>
        <v>0</v>
      </c>
      <c r="J11" s="142"/>
      <c r="K11" s="34">
        <f>'261030'!L11</f>
        <v>0</v>
      </c>
      <c r="L11" s="34">
        <f t="shared" si="3"/>
        <v>0</v>
      </c>
    </row>
    <row r="12" spans="1:14" ht="21.95" customHeight="1" x14ac:dyDescent="0.3">
      <c r="A12" s="4">
        <f t="shared" si="4"/>
        <v>5</v>
      </c>
      <c r="B12" s="103" t="str">
        <f>'261001'!B12</f>
        <v>경량</v>
      </c>
      <c r="C12" s="142">
        <f t="shared" si="0"/>
        <v>0</v>
      </c>
      <c r="D12" s="142"/>
      <c r="E12" s="38">
        <f>'261030'!F12</f>
        <v>0</v>
      </c>
      <c r="F12" s="34">
        <f t="shared" si="1"/>
        <v>0</v>
      </c>
      <c r="G12" s="8">
        <f t="shared" si="5"/>
        <v>12</v>
      </c>
      <c r="H12" s="32" t="str">
        <f>'261001'!H12</f>
        <v>큐비클</v>
      </c>
      <c r="I12" s="142">
        <f t="shared" si="2"/>
        <v>0</v>
      </c>
      <c r="J12" s="142"/>
      <c r="K12" s="34">
        <f>'261030'!L12</f>
        <v>0</v>
      </c>
      <c r="L12" s="34">
        <f t="shared" si="3"/>
        <v>0</v>
      </c>
    </row>
    <row r="13" spans="1:14" ht="21.95" customHeight="1" x14ac:dyDescent="0.3">
      <c r="A13" s="4">
        <f t="shared" si="4"/>
        <v>6</v>
      </c>
      <c r="B13" s="103" t="str">
        <f>'261001'!B13</f>
        <v>합지</v>
      </c>
      <c r="C13" s="142">
        <f t="shared" si="0"/>
        <v>0</v>
      </c>
      <c r="D13" s="142"/>
      <c r="E13" s="38">
        <f>'261030'!F13</f>
        <v>0</v>
      </c>
      <c r="F13" s="34">
        <f t="shared" si="1"/>
        <v>0</v>
      </c>
      <c r="G13" s="8">
        <f t="shared" si="5"/>
        <v>13</v>
      </c>
      <c r="H13" s="32">
        <f>'261001'!H13</f>
        <v>0</v>
      </c>
      <c r="I13" s="142">
        <f t="shared" si="2"/>
        <v>0</v>
      </c>
      <c r="J13" s="142"/>
      <c r="K13" s="34">
        <f>'261030'!L13</f>
        <v>0</v>
      </c>
      <c r="L13" s="34">
        <f t="shared" si="3"/>
        <v>0</v>
      </c>
    </row>
    <row r="14" spans="1:14" ht="21.95" customHeight="1" x14ac:dyDescent="0.3">
      <c r="A14" s="5">
        <f t="shared" si="4"/>
        <v>7</v>
      </c>
      <c r="B14" s="104" t="str">
        <f>'261001'!B14</f>
        <v>천정</v>
      </c>
      <c r="C14" s="150">
        <f t="shared" si="0"/>
        <v>0</v>
      </c>
      <c r="D14" s="150"/>
      <c r="E14" s="39">
        <f>'261030'!F14</f>
        <v>0</v>
      </c>
      <c r="F14" s="40">
        <f t="shared" ref="F14" si="6">C14+E14</f>
        <v>0</v>
      </c>
      <c r="G14" s="9">
        <f t="shared" si="5"/>
        <v>14</v>
      </c>
      <c r="H14" s="33">
        <f>'261001'!H14</f>
        <v>0</v>
      </c>
      <c r="I14" s="150"/>
      <c r="J14" s="150"/>
      <c r="K14" s="40"/>
      <c r="L14" s="40"/>
    </row>
    <row r="15" spans="1:14" ht="12" customHeight="1" x14ac:dyDescent="0.3">
      <c r="A15" s="48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9"/>
    </row>
    <row r="16" spans="1:14" ht="24.95" customHeight="1" x14ac:dyDescent="0.3">
      <c r="A16" s="143" t="s">
        <v>12</v>
      </c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5"/>
    </row>
    <row r="17" spans="1:12" ht="24.95" customHeight="1" x14ac:dyDescent="0.3">
      <c r="A17" s="37" t="s">
        <v>0</v>
      </c>
      <c r="B17" s="37" t="s">
        <v>1</v>
      </c>
      <c r="C17" s="37" t="s">
        <v>2</v>
      </c>
      <c r="D17" s="37" t="s">
        <v>3</v>
      </c>
      <c r="E17" s="37" t="s">
        <v>4</v>
      </c>
      <c r="F17" s="37" t="s">
        <v>5</v>
      </c>
      <c r="G17" s="14" t="s">
        <v>0</v>
      </c>
      <c r="H17" s="37" t="s">
        <v>1</v>
      </c>
      <c r="I17" s="37" t="s">
        <v>2</v>
      </c>
      <c r="J17" s="37" t="s">
        <v>3</v>
      </c>
      <c r="K17" s="37" t="s">
        <v>4</v>
      </c>
      <c r="L17" s="37" t="s">
        <v>5</v>
      </c>
    </row>
    <row r="18" spans="1:12" ht="20.45" customHeight="1" x14ac:dyDescent="0.3">
      <c r="A18" s="12">
        <v>1</v>
      </c>
      <c r="B18" s="60"/>
      <c r="C18" s="60"/>
      <c r="D18" s="60"/>
      <c r="E18" s="57"/>
      <c r="F18" s="57"/>
      <c r="G18" s="13">
        <v>31</v>
      </c>
      <c r="H18" s="56"/>
      <c r="I18" s="56"/>
      <c r="J18" s="56"/>
      <c r="K18" s="58"/>
      <c r="L18" s="61"/>
    </row>
    <row r="19" spans="1:12" ht="20.45" customHeight="1" x14ac:dyDescent="0.3">
      <c r="A19" s="10">
        <f t="shared" ref="A19:A31" si="7">A18+1</f>
        <v>2</v>
      </c>
      <c r="B19" s="56"/>
      <c r="C19" s="56"/>
      <c r="D19" s="56"/>
      <c r="E19" s="58"/>
      <c r="F19" s="58"/>
      <c r="G19" s="11">
        <f>G18+1</f>
        <v>32</v>
      </c>
      <c r="H19" s="56"/>
      <c r="I19" s="56"/>
      <c r="J19" s="56"/>
      <c r="K19" s="58"/>
      <c r="L19" s="61"/>
    </row>
    <row r="20" spans="1:12" ht="20.45" customHeight="1" x14ac:dyDescent="0.3">
      <c r="A20" s="10">
        <f t="shared" si="7"/>
        <v>3</v>
      </c>
      <c r="B20" s="56"/>
      <c r="C20" s="56"/>
      <c r="D20" s="56"/>
      <c r="E20" s="58"/>
      <c r="F20" s="58"/>
      <c r="G20" s="11">
        <f t="shared" ref="G20:G47" si="8">G19+1</f>
        <v>33</v>
      </c>
      <c r="H20" s="56"/>
      <c r="I20" s="56"/>
      <c r="J20" s="56"/>
      <c r="K20" s="58"/>
      <c r="L20" s="61"/>
    </row>
    <row r="21" spans="1:12" ht="20.45" customHeight="1" x14ac:dyDescent="0.3">
      <c r="A21" s="10">
        <f t="shared" si="7"/>
        <v>4</v>
      </c>
      <c r="B21" s="56"/>
      <c r="C21" s="56"/>
      <c r="D21" s="56"/>
      <c r="E21" s="58"/>
      <c r="F21" s="125"/>
      <c r="G21" s="11">
        <f t="shared" si="8"/>
        <v>34</v>
      </c>
      <c r="H21" s="56"/>
      <c r="I21" s="56"/>
      <c r="J21" s="56"/>
      <c r="K21" s="58"/>
      <c r="L21" s="61"/>
    </row>
    <row r="22" spans="1:12" ht="20.45" customHeight="1" x14ac:dyDescent="0.3">
      <c r="A22" s="10">
        <f t="shared" si="7"/>
        <v>5</v>
      </c>
      <c r="B22" s="56"/>
      <c r="C22" s="56"/>
      <c r="D22" s="56"/>
      <c r="E22" s="58"/>
      <c r="F22" s="116"/>
      <c r="G22" s="11">
        <f t="shared" si="8"/>
        <v>35</v>
      </c>
      <c r="H22" s="56"/>
      <c r="I22" s="56"/>
      <c r="J22" s="56"/>
      <c r="K22" s="58"/>
      <c r="L22" s="61"/>
    </row>
    <row r="23" spans="1:12" ht="20.45" customHeight="1" x14ac:dyDescent="0.3">
      <c r="A23" s="10">
        <f t="shared" si="7"/>
        <v>6</v>
      </c>
      <c r="B23" s="56"/>
      <c r="C23" s="56"/>
      <c r="D23" s="56"/>
      <c r="E23" s="58"/>
      <c r="F23" s="116"/>
      <c r="G23" s="11">
        <f t="shared" si="8"/>
        <v>36</v>
      </c>
      <c r="H23" s="56"/>
      <c r="I23" s="56"/>
      <c r="J23" s="56"/>
      <c r="K23" s="58"/>
      <c r="L23" s="61"/>
    </row>
    <row r="24" spans="1:12" ht="20.45" customHeight="1" x14ac:dyDescent="0.3">
      <c r="A24" s="10">
        <f t="shared" si="7"/>
        <v>7</v>
      </c>
      <c r="B24" s="56"/>
      <c r="C24" s="56"/>
      <c r="D24" s="56"/>
      <c r="E24" s="58"/>
      <c r="F24" s="125"/>
      <c r="G24" s="11">
        <f t="shared" si="8"/>
        <v>37</v>
      </c>
      <c r="H24" s="56"/>
      <c r="I24" s="56"/>
      <c r="J24" s="56"/>
      <c r="K24" s="58"/>
      <c r="L24" s="61"/>
    </row>
    <row r="25" spans="1:12" ht="20.45" customHeight="1" x14ac:dyDescent="0.3">
      <c r="A25" s="10">
        <f t="shared" si="7"/>
        <v>8</v>
      </c>
      <c r="B25" s="56"/>
      <c r="C25" s="56"/>
      <c r="D25" s="56"/>
      <c r="E25" s="58"/>
      <c r="F25" s="125"/>
      <c r="G25" s="11">
        <f t="shared" si="8"/>
        <v>38</v>
      </c>
      <c r="H25" s="56"/>
      <c r="I25" s="56"/>
      <c r="J25" s="56"/>
      <c r="K25" s="58"/>
      <c r="L25" s="61"/>
    </row>
    <row r="26" spans="1:12" ht="20.45" customHeight="1" x14ac:dyDescent="0.3">
      <c r="A26" s="10">
        <f t="shared" si="7"/>
        <v>9</v>
      </c>
      <c r="B26" s="56"/>
      <c r="C26" s="56"/>
      <c r="D26" s="56"/>
      <c r="E26" s="58"/>
      <c r="F26" s="58"/>
      <c r="G26" s="11">
        <f t="shared" si="8"/>
        <v>39</v>
      </c>
      <c r="H26" s="56"/>
      <c r="I26" s="56"/>
      <c r="J26" s="56"/>
      <c r="K26" s="58"/>
      <c r="L26" s="61"/>
    </row>
    <row r="27" spans="1:12" ht="20.45" customHeight="1" x14ac:dyDescent="0.3">
      <c r="A27" s="10">
        <f t="shared" si="7"/>
        <v>10</v>
      </c>
      <c r="B27" s="56"/>
      <c r="C27" s="56"/>
      <c r="D27" s="56"/>
      <c r="E27" s="58"/>
      <c r="F27" s="58"/>
      <c r="G27" s="11">
        <f t="shared" si="8"/>
        <v>40</v>
      </c>
      <c r="H27" s="56"/>
      <c r="I27" s="56"/>
      <c r="J27" s="56"/>
      <c r="K27" s="58"/>
      <c r="L27" s="61"/>
    </row>
    <row r="28" spans="1:12" ht="20.45" customHeight="1" x14ac:dyDescent="0.3">
      <c r="A28" s="10">
        <f t="shared" si="7"/>
        <v>11</v>
      </c>
      <c r="B28" s="56"/>
      <c r="C28" s="56"/>
      <c r="D28" s="56"/>
      <c r="E28" s="58"/>
      <c r="F28" s="58"/>
      <c r="G28" s="11">
        <f t="shared" si="8"/>
        <v>41</v>
      </c>
      <c r="H28" s="56"/>
      <c r="I28" s="56"/>
      <c r="J28" s="56"/>
      <c r="K28" s="58"/>
      <c r="L28" s="61"/>
    </row>
    <row r="29" spans="1:12" ht="20.45" customHeight="1" x14ac:dyDescent="0.3">
      <c r="A29" s="10">
        <f t="shared" si="7"/>
        <v>12</v>
      </c>
      <c r="B29" s="56"/>
      <c r="C29" s="56"/>
      <c r="D29" s="56"/>
      <c r="E29" s="58"/>
      <c r="F29" s="58"/>
      <c r="G29" s="11">
        <f t="shared" si="8"/>
        <v>42</v>
      </c>
      <c r="H29" s="56"/>
      <c r="I29" s="56"/>
      <c r="J29" s="56"/>
      <c r="K29" s="58"/>
      <c r="L29" s="61"/>
    </row>
    <row r="30" spans="1:12" ht="20.45" customHeight="1" x14ac:dyDescent="0.3">
      <c r="A30" s="10">
        <f t="shared" si="7"/>
        <v>13</v>
      </c>
      <c r="B30" s="56"/>
      <c r="C30" s="56"/>
      <c r="D30" s="56"/>
      <c r="E30" s="58"/>
      <c r="F30" s="61"/>
      <c r="G30" s="11">
        <f t="shared" si="8"/>
        <v>43</v>
      </c>
      <c r="H30" s="56"/>
      <c r="I30" s="56"/>
      <c r="J30" s="56"/>
      <c r="K30" s="58"/>
      <c r="L30" s="61"/>
    </row>
    <row r="31" spans="1:12" ht="20.45" customHeight="1" x14ac:dyDescent="0.3">
      <c r="A31" s="10">
        <f t="shared" si="7"/>
        <v>14</v>
      </c>
      <c r="B31" s="56"/>
      <c r="C31" s="56"/>
      <c r="D31" s="56"/>
      <c r="E31" s="58"/>
      <c r="F31" s="61"/>
      <c r="G31" s="11">
        <f t="shared" si="8"/>
        <v>44</v>
      </c>
      <c r="H31" s="56"/>
      <c r="I31" s="56"/>
      <c r="J31" s="56"/>
      <c r="K31" s="58"/>
      <c r="L31" s="61"/>
    </row>
    <row r="32" spans="1:12" ht="20.45" customHeight="1" x14ac:dyDescent="0.3">
      <c r="A32" s="10">
        <f>A31+1</f>
        <v>15</v>
      </c>
      <c r="B32" s="56"/>
      <c r="C32" s="56"/>
      <c r="D32" s="56"/>
      <c r="E32" s="58"/>
      <c r="F32" s="61"/>
      <c r="G32" s="11">
        <f t="shared" si="8"/>
        <v>45</v>
      </c>
      <c r="H32" s="56"/>
      <c r="I32" s="56"/>
      <c r="J32" s="56"/>
      <c r="K32" s="58"/>
      <c r="L32" s="61"/>
    </row>
    <row r="33" spans="1:12" ht="20.45" customHeight="1" x14ac:dyDescent="0.3">
      <c r="A33" s="10">
        <f t="shared" ref="A33:A47" si="9">A32+1</f>
        <v>16</v>
      </c>
      <c r="B33" s="56"/>
      <c r="C33" s="56"/>
      <c r="D33" s="56"/>
      <c r="E33" s="58"/>
      <c r="F33" s="61"/>
      <c r="G33" s="11">
        <f t="shared" si="8"/>
        <v>46</v>
      </c>
      <c r="H33" s="56"/>
      <c r="I33" s="56"/>
      <c r="J33" s="56"/>
      <c r="K33" s="58"/>
      <c r="L33" s="61"/>
    </row>
    <row r="34" spans="1:12" ht="20.45" customHeight="1" x14ac:dyDescent="0.3">
      <c r="A34" s="10">
        <f t="shared" si="9"/>
        <v>17</v>
      </c>
      <c r="B34" s="56"/>
      <c r="C34" s="56"/>
      <c r="D34" s="56"/>
      <c r="E34" s="58"/>
      <c r="F34" s="61"/>
      <c r="G34" s="11">
        <f t="shared" si="8"/>
        <v>47</v>
      </c>
      <c r="H34" s="56"/>
      <c r="I34" s="56"/>
      <c r="J34" s="56"/>
      <c r="K34" s="58"/>
      <c r="L34" s="61"/>
    </row>
    <row r="35" spans="1:12" ht="20.45" customHeight="1" x14ac:dyDescent="0.3">
      <c r="A35" s="10">
        <f t="shared" si="9"/>
        <v>18</v>
      </c>
      <c r="B35" s="56"/>
      <c r="C35" s="56"/>
      <c r="D35" s="56"/>
      <c r="E35" s="58"/>
      <c r="F35" s="61"/>
      <c r="G35" s="11">
        <f t="shared" si="8"/>
        <v>48</v>
      </c>
      <c r="H35" s="56"/>
      <c r="I35" s="56"/>
      <c r="J35" s="56"/>
      <c r="K35" s="58"/>
      <c r="L35" s="61"/>
    </row>
    <row r="36" spans="1:12" ht="20.45" customHeight="1" x14ac:dyDescent="0.3">
      <c r="A36" s="10">
        <f t="shared" si="9"/>
        <v>19</v>
      </c>
      <c r="B36" s="56"/>
      <c r="C36" s="56"/>
      <c r="D36" s="56"/>
      <c r="E36" s="58"/>
      <c r="F36" s="58"/>
      <c r="G36" s="11">
        <f t="shared" si="8"/>
        <v>49</v>
      </c>
      <c r="H36" s="56"/>
      <c r="I36" s="56"/>
      <c r="J36" s="56"/>
      <c r="K36" s="58"/>
      <c r="L36" s="61"/>
    </row>
    <row r="37" spans="1:12" ht="20.45" customHeight="1" x14ac:dyDescent="0.3">
      <c r="A37" s="10">
        <f t="shared" si="9"/>
        <v>20</v>
      </c>
      <c r="B37" s="56"/>
      <c r="C37" s="56"/>
      <c r="D37" s="56"/>
      <c r="E37" s="58"/>
      <c r="F37" s="58"/>
      <c r="G37" s="11">
        <f t="shared" si="8"/>
        <v>50</v>
      </c>
      <c r="H37" s="56"/>
      <c r="I37" s="56"/>
      <c r="J37" s="56"/>
      <c r="K37" s="46"/>
      <c r="L37" s="45"/>
    </row>
    <row r="38" spans="1:12" ht="20.45" customHeight="1" x14ac:dyDescent="0.3">
      <c r="A38" s="10">
        <f t="shared" si="9"/>
        <v>21</v>
      </c>
      <c r="B38" s="56"/>
      <c r="C38" s="56"/>
      <c r="D38" s="56"/>
      <c r="E38" s="58"/>
      <c r="F38" s="61"/>
      <c r="G38" s="11">
        <f t="shared" si="8"/>
        <v>51</v>
      </c>
      <c r="H38" s="56"/>
      <c r="I38" s="56"/>
      <c r="J38" s="56"/>
      <c r="K38" s="46"/>
      <c r="L38" s="45"/>
    </row>
    <row r="39" spans="1:12" ht="20.45" customHeight="1" x14ac:dyDescent="0.3">
      <c r="A39" s="10">
        <f t="shared" si="9"/>
        <v>22</v>
      </c>
      <c r="B39" s="56"/>
      <c r="C39" s="56"/>
      <c r="D39" s="56"/>
      <c r="E39" s="58"/>
      <c r="F39" s="58"/>
      <c r="G39" s="11">
        <f t="shared" si="8"/>
        <v>52</v>
      </c>
      <c r="H39" s="44"/>
      <c r="I39" s="44"/>
      <c r="J39" s="44"/>
      <c r="K39" s="46"/>
      <c r="L39" s="45"/>
    </row>
    <row r="40" spans="1:12" ht="20.45" customHeight="1" x14ac:dyDescent="0.3">
      <c r="A40" s="10">
        <f t="shared" si="9"/>
        <v>23</v>
      </c>
      <c r="B40" s="56"/>
      <c r="C40" s="56"/>
      <c r="D40" s="56"/>
      <c r="E40" s="58"/>
      <c r="F40" s="58"/>
      <c r="G40" s="11">
        <f t="shared" si="8"/>
        <v>53</v>
      </c>
      <c r="H40" s="44"/>
      <c r="I40" s="44"/>
      <c r="J40" s="44"/>
      <c r="K40" s="46"/>
      <c r="L40" s="45"/>
    </row>
    <row r="41" spans="1:12" ht="20.45" customHeight="1" x14ac:dyDescent="0.3">
      <c r="A41" s="10">
        <f t="shared" si="9"/>
        <v>24</v>
      </c>
      <c r="B41" s="56"/>
      <c r="C41" s="56"/>
      <c r="D41" s="56"/>
      <c r="E41" s="58"/>
      <c r="F41" s="61"/>
      <c r="G41" s="11">
        <f t="shared" si="8"/>
        <v>54</v>
      </c>
      <c r="H41" s="44"/>
      <c r="I41" s="44"/>
      <c r="J41" s="44"/>
      <c r="K41" s="46"/>
      <c r="L41" s="45"/>
    </row>
    <row r="42" spans="1:12" ht="20.45" customHeight="1" x14ac:dyDescent="0.3">
      <c r="A42" s="10">
        <f t="shared" si="9"/>
        <v>25</v>
      </c>
      <c r="B42" s="56"/>
      <c r="C42" s="56"/>
      <c r="D42" s="56"/>
      <c r="E42" s="58"/>
      <c r="F42" s="61"/>
      <c r="G42" s="11">
        <f t="shared" si="8"/>
        <v>55</v>
      </c>
      <c r="H42" s="44"/>
      <c r="I42" s="44"/>
      <c r="J42" s="44"/>
      <c r="K42" s="46"/>
      <c r="L42" s="45"/>
    </row>
    <row r="43" spans="1:12" ht="20.45" customHeight="1" x14ac:dyDescent="0.3">
      <c r="A43" s="10">
        <f t="shared" si="9"/>
        <v>26</v>
      </c>
      <c r="B43" s="56"/>
      <c r="C43" s="56"/>
      <c r="D43" s="56"/>
      <c r="E43" s="58"/>
      <c r="F43" s="58"/>
      <c r="G43" s="11">
        <f t="shared" si="8"/>
        <v>56</v>
      </c>
      <c r="H43" s="44"/>
      <c r="I43" s="44"/>
      <c r="J43" s="44"/>
      <c r="K43" s="46"/>
      <c r="L43" s="45"/>
    </row>
    <row r="44" spans="1:12" ht="20.45" customHeight="1" x14ac:dyDescent="0.3">
      <c r="A44" s="10">
        <f t="shared" si="9"/>
        <v>27</v>
      </c>
      <c r="B44" s="56"/>
      <c r="C44" s="56"/>
      <c r="D44" s="56"/>
      <c r="E44" s="58"/>
      <c r="F44" s="58"/>
      <c r="G44" s="11">
        <f t="shared" si="8"/>
        <v>57</v>
      </c>
      <c r="H44" s="44"/>
      <c r="I44" s="44"/>
      <c r="J44" s="44"/>
      <c r="K44" s="46"/>
      <c r="L44" s="45"/>
    </row>
    <row r="45" spans="1:12" ht="20.45" customHeight="1" x14ac:dyDescent="0.3">
      <c r="A45" s="10">
        <f t="shared" si="9"/>
        <v>28</v>
      </c>
      <c r="B45" s="56"/>
      <c r="C45" s="56"/>
      <c r="D45" s="56"/>
      <c r="E45" s="58"/>
      <c r="F45" s="58"/>
      <c r="G45" s="11">
        <f t="shared" si="8"/>
        <v>58</v>
      </c>
      <c r="H45" s="44"/>
      <c r="I45" s="44"/>
      <c r="J45" s="44"/>
      <c r="K45" s="46"/>
      <c r="L45" s="45"/>
    </row>
    <row r="46" spans="1:12" ht="20.45" customHeight="1" x14ac:dyDescent="0.3">
      <c r="A46" s="10">
        <f t="shared" si="9"/>
        <v>29</v>
      </c>
      <c r="B46" s="56"/>
      <c r="C46" s="56"/>
      <c r="D46" s="56"/>
      <c r="E46" s="58"/>
      <c r="F46" s="58"/>
      <c r="G46" s="11">
        <f t="shared" si="8"/>
        <v>59</v>
      </c>
      <c r="H46" s="44"/>
      <c r="I46" s="44"/>
      <c r="J46" s="44"/>
      <c r="K46" s="46"/>
      <c r="L46" s="45"/>
    </row>
    <row r="47" spans="1:12" ht="20.45" customHeight="1" x14ac:dyDescent="0.3">
      <c r="A47" s="10">
        <f t="shared" si="9"/>
        <v>30</v>
      </c>
      <c r="B47" s="56"/>
      <c r="C47" s="56"/>
      <c r="D47" s="56"/>
      <c r="E47" s="58"/>
      <c r="F47" s="58"/>
      <c r="G47" s="11">
        <f t="shared" si="8"/>
        <v>60</v>
      </c>
      <c r="H47" s="44"/>
      <c r="I47" s="44"/>
      <c r="J47" s="44"/>
      <c r="K47" s="46"/>
      <c r="L47" s="45"/>
    </row>
    <row r="48" spans="1:12" ht="24.9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ht="24.9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ht="24.9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ht="24.9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ht="24.9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</sheetData>
  <mergeCells count="32">
    <mergeCell ref="C12:D12"/>
    <mergeCell ref="I12:J12"/>
    <mergeCell ref="C13:D13"/>
    <mergeCell ref="I13:J13"/>
    <mergeCell ref="A16:L16"/>
    <mergeCell ref="C14:D14"/>
    <mergeCell ref="I14:J14"/>
    <mergeCell ref="C9:D9"/>
    <mergeCell ref="I9:J9"/>
    <mergeCell ref="C10:D10"/>
    <mergeCell ref="I10:J10"/>
    <mergeCell ref="C11:D11"/>
    <mergeCell ref="I11:J11"/>
    <mergeCell ref="A6:F6"/>
    <mergeCell ref="G6:L6"/>
    <mergeCell ref="C7:D7"/>
    <mergeCell ref="I7:J7"/>
    <mergeCell ref="C8:D8"/>
    <mergeCell ref="I8:J8"/>
    <mergeCell ref="L2:L5"/>
    <mergeCell ref="A3:B3"/>
    <mergeCell ref="C3:F3"/>
    <mergeCell ref="A4:B4"/>
    <mergeCell ref="C4:F4"/>
    <mergeCell ref="A5:B5"/>
    <mergeCell ref="C5:F5"/>
    <mergeCell ref="A1:F2"/>
    <mergeCell ref="G1:H1"/>
    <mergeCell ref="I1:J1"/>
    <mergeCell ref="G2:H5"/>
    <mergeCell ref="I2:J5"/>
    <mergeCell ref="K2:K5"/>
  </mergeCells>
  <phoneticPr fontId="3" type="noConversion"/>
  <printOptions horizontalCentered="1"/>
  <pageMargins left="0.39370078740157483" right="0.39370078740157483" top="0.35433070866141736" bottom="0" header="0.11811023622047245" footer="0.11811023622047245"/>
  <pageSetup paperSize="9" scale="5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32</vt:i4>
      </vt:variant>
    </vt:vector>
  </HeadingPairs>
  <TitlesOfParts>
    <vt:vector size="64" baseType="lpstr">
      <vt:lpstr>노임검토</vt:lpstr>
      <vt:lpstr>261001</vt:lpstr>
      <vt:lpstr>261002</vt:lpstr>
      <vt:lpstr>261003</vt:lpstr>
      <vt:lpstr>261004</vt:lpstr>
      <vt:lpstr>261005</vt:lpstr>
      <vt:lpstr>261006</vt:lpstr>
      <vt:lpstr>261007</vt:lpstr>
      <vt:lpstr>261008</vt:lpstr>
      <vt:lpstr>261009</vt:lpstr>
      <vt:lpstr>261010</vt:lpstr>
      <vt:lpstr>261011</vt:lpstr>
      <vt:lpstr>261012</vt:lpstr>
      <vt:lpstr>261013</vt:lpstr>
      <vt:lpstr>261014</vt:lpstr>
      <vt:lpstr>261015</vt:lpstr>
      <vt:lpstr>261016</vt:lpstr>
      <vt:lpstr>261017</vt:lpstr>
      <vt:lpstr>261018</vt:lpstr>
      <vt:lpstr>261019</vt:lpstr>
      <vt:lpstr>261020</vt:lpstr>
      <vt:lpstr>261021</vt:lpstr>
      <vt:lpstr>261022</vt:lpstr>
      <vt:lpstr>261023</vt:lpstr>
      <vt:lpstr>261024</vt:lpstr>
      <vt:lpstr>261025</vt:lpstr>
      <vt:lpstr>261026</vt:lpstr>
      <vt:lpstr>261027</vt:lpstr>
      <vt:lpstr>261028</vt:lpstr>
      <vt:lpstr>261029</vt:lpstr>
      <vt:lpstr>261030</vt:lpstr>
      <vt:lpstr>261031</vt:lpstr>
      <vt:lpstr>'261001'!Print_Area</vt:lpstr>
      <vt:lpstr>'261002'!Print_Area</vt:lpstr>
      <vt:lpstr>'261003'!Print_Area</vt:lpstr>
      <vt:lpstr>'261004'!Print_Area</vt:lpstr>
      <vt:lpstr>'261005'!Print_Area</vt:lpstr>
      <vt:lpstr>'261006'!Print_Area</vt:lpstr>
      <vt:lpstr>'261007'!Print_Area</vt:lpstr>
      <vt:lpstr>'261008'!Print_Area</vt:lpstr>
      <vt:lpstr>'261009'!Print_Area</vt:lpstr>
      <vt:lpstr>'261010'!Print_Area</vt:lpstr>
      <vt:lpstr>'261011'!Print_Area</vt:lpstr>
      <vt:lpstr>'261012'!Print_Area</vt:lpstr>
      <vt:lpstr>'261013'!Print_Area</vt:lpstr>
      <vt:lpstr>'261014'!Print_Area</vt:lpstr>
      <vt:lpstr>'261015'!Print_Area</vt:lpstr>
      <vt:lpstr>'261016'!Print_Area</vt:lpstr>
      <vt:lpstr>'261017'!Print_Area</vt:lpstr>
      <vt:lpstr>'261018'!Print_Area</vt:lpstr>
      <vt:lpstr>'261019'!Print_Area</vt:lpstr>
      <vt:lpstr>'261020'!Print_Area</vt:lpstr>
      <vt:lpstr>'261021'!Print_Area</vt:lpstr>
      <vt:lpstr>'261022'!Print_Area</vt:lpstr>
      <vt:lpstr>'261023'!Print_Area</vt:lpstr>
      <vt:lpstr>'261024'!Print_Area</vt:lpstr>
      <vt:lpstr>'261025'!Print_Area</vt:lpstr>
      <vt:lpstr>'261026'!Print_Area</vt:lpstr>
      <vt:lpstr>'261027'!Print_Area</vt:lpstr>
      <vt:lpstr>'261028'!Print_Area</vt:lpstr>
      <vt:lpstr>'261029'!Print_Area</vt:lpstr>
      <vt:lpstr>'261030'!Print_Area</vt:lpstr>
      <vt:lpstr>'261031'!Print_Area</vt:lpstr>
      <vt:lpstr>노임검토!Print_Area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서재형</dc:creator>
  <cp:lastModifiedBy>jae hyeong seo</cp:lastModifiedBy>
  <cp:lastPrinted>2026-06-11T22:01:17Z</cp:lastPrinted>
  <dcterms:created xsi:type="dcterms:W3CDTF">2024-04-25T00:08:17Z</dcterms:created>
  <dcterms:modified xsi:type="dcterms:W3CDTF">2026-09-30T00:40:18Z</dcterms:modified>
</cp:coreProperties>
</file>