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in\OneDrive\바탕 화면\"/>
    </mc:Choice>
  </mc:AlternateContent>
  <xr:revisionPtr revIDLastSave="0" documentId="13_ncr:1_{676681D8-54E5-426A-BBDB-8574D8F03DBB}" xr6:coauthVersionLast="47" xr6:coauthVersionMax="47" xr10:uidLastSave="{00000000-0000-0000-0000-000000000000}"/>
  <bookViews>
    <workbookView xWindow="38280" yWindow="-120" windowWidth="29040" windowHeight="15720" xr2:uid="{CF25C66C-10CD-4EA7-A317-8D2C0B581B36}"/>
  </bookViews>
  <sheets>
    <sheet name="일위대가" sheetId="1" r:id="rId1"/>
  </sheets>
  <externalReferences>
    <externalReference r:id="rId2"/>
  </externalReferences>
  <definedNames>
    <definedName name="_xlnm.Print_Area" localSheetId="0">일위대가!$A$1:$N$29</definedName>
    <definedName name="단가">[1]단가표!$D$3:$D$86</definedName>
    <definedName name="단가1">[1]단가표!$D$87:$D$133</definedName>
    <definedName name="단가2">[1]단가표!$D$134:$D$194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K24" i="1"/>
  <c r="K23" i="1"/>
  <c r="M23" i="1" s="1"/>
  <c r="K22" i="1"/>
  <c r="K21" i="1"/>
  <c r="K20" i="1"/>
  <c r="K19" i="1"/>
  <c r="K18" i="1"/>
  <c r="K17" i="1"/>
  <c r="K16" i="1"/>
  <c r="K15" i="1"/>
  <c r="K14" i="1"/>
  <c r="M14" i="1" s="1"/>
  <c r="K13" i="1"/>
  <c r="M13" i="1" s="1"/>
  <c r="K12" i="1"/>
  <c r="M12" i="1" s="1"/>
  <c r="K11" i="1"/>
  <c r="M11" i="1" s="1"/>
  <c r="K10" i="1"/>
  <c r="K9" i="1"/>
  <c r="K8" i="1"/>
  <c r="K7" i="1"/>
  <c r="K6" i="1"/>
  <c r="I25" i="1"/>
  <c r="I24" i="1"/>
  <c r="I23" i="1"/>
  <c r="I22" i="1"/>
  <c r="I21" i="1"/>
  <c r="I20" i="1"/>
  <c r="M20" i="1" s="1"/>
  <c r="I19" i="1"/>
  <c r="M19" i="1" s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G25" i="1"/>
  <c r="M25" i="1" s="1"/>
  <c r="G24" i="1"/>
  <c r="M24" i="1" s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L25" i="1"/>
  <c r="L24" i="1"/>
  <c r="L23" i="1"/>
  <c r="M22" i="1"/>
  <c r="L22" i="1"/>
  <c r="M21" i="1"/>
  <c r="L21" i="1"/>
  <c r="L20" i="1"/>
  <c r="L19" i="1"/>
  <c r="L18" i="1"/>
  <c r="L17" i="1"/>
  <c r="L16" i="1"/>
  <c r="M15" i="1"/>
  <c r="L15" i="1"/>
  <c r="L14" i="1"/>
  <c r="L13" i="1"/>
  <c r="L12" i="1"/>
  <c r="L11" i="1"/>
  <c r="L10" i="1"/>
  <c r="L9" i="1"/>
  <c r="L8" i="1"/>
  <c r="L7" i="1"/>
  <c r="L6" i="1"/>
  <c r="M16" i="1" l="1"/>
  <c r="M17" i="1"/>
  <c r="M18" i="1"/>
  <c r="M7" i="1"/>
  <c r="M8" i="1"/>
  <c r="M9" i="1"/>
  <c r="M10" i="1"/>
  <c r="I26" i="1"/>
  <c r="K26" i="1" l="1"/>
  <c r="M6" i="1"/>
  <c r="M26" i="1" s="1"/>
  <c r="G26" i="1"/>
</calcChain>
</file>

<file path=xl/sharedStrings.xml><?xml version="1.0" encoding="utf-8"?>
<sst xmlns="http://schemas.openxmlformats.org/spreadsheetml/2006/main" count="23" uniqueCount="15">
  <si>
    <t>NO</t>
    <phoneticPr fontId="5" type="noConversion"/>
  </si>
  <si>
    <t>품    명</t>
    <phoneticPr fontId="5" type="noConversion"/>
  </si>
  <si>
    <t>규    격</t>
    <phoneticPr fontId="5" type="noConversion"/>
  </si>
  <si>
    <t>단    위</t>
    <phoneticPr fontId="5" type="noConversion"/>
  </si>
  <si>
    <t>단위</t>
    <phoneticPr fontId="5" type="noConversion"/>
  </si>
  <si>
    <t>수량</t>
    <phoneticPr fontId="5" type="noConversion"/>
  </si>
  <si>
    <t>재료비</t>
    <phoneticPr fontId="5" type="noConversion"/>
  </si>
  <si>
    <t>노무비</t>
    <phoneticPr fontId="5" type="noConversion"/>
  </si>
  <si>
    <t>경비</t>
    <phoneticPr fontId="5" type="noConversion"/>
  </si>
  <si>
    <t>합계</t>
    <phoneticPr fontId="5" type="noConversion"/>
  </si>
  <si>
    <t>비고</t>
    <phoneticPr fontId="5" type="noConversion"/>
  </si>
  <si>
    <t>단가</t>
    <phoneticPr fontId="5" type="noConversion"/>
  </si>
  <si>
    <t>금액</t>
    <phoneticPr fontId="5" type="noConversion"/>
  </si>
  <si>
    <t>*특이사항</t>
    <phoneticPr fontId="4" type="noConversion"/>
  </si>
  <si>
    <t>일위대가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</si>
</sst>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6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shrinkToFi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7" fillId="0" borderId="13" xfId="1" applyFont="1" applyBorder="1">
      <alignment vertical="center"/>
    </xf>
    <xf numFmtId="0" fontId="7" fillId="0" borderId="14" xfId="1" applyFont="1" applyBorder="1">
      <alignment vertical="center"/>
    </xf>
    <xf numFmtId="41" fontId="7" fillId="0" borderId="15" xfId="2" applyFont="1" applyBorder="1" applyAlignment="1">
      <alignment horizontal="left" vertical="center"/>
    </xf>
    <xf numFmtId="41" fontId="7" fillId="0" borderId="15" xfId="2" applyFont="1" applyBorder="1">
      <alignment vertical="center"/>
    </xf>
    <xf numFmtId="41" fontId="7" fillId="0" borderId="16" xfId="2" applyFont="1" applyBorder="1">
      <alignment vertical="center"/>
    </xf>
    <xf numFmtId="0" fontId="7" fillId="0" borderId="17" xfId="1" applyFont="1" applyBorder="1">
      <alignment vertical="center"/>
    </xf>
    <xf numFmtId="0" fontId="7" fillId="0" borderId="18" xfId="1" applyFont="1" applyBorder="1">
      <alignment vertical="center"/>
    </xf>
    <xf numFmtId="41" fontId="7" fillId="0" borderId="19" xfId="2" applyFont="1" applyBorder="1" applyAlignment="1">
      <alignment horizontal="left" vertical="center"/>
    </xf>
    <xf numFmtId="41" fontId="7" fillId="0" borderId="19" xfId="2" applyFont="1" applyBorder="1">
      <alignment vertical="center"/>
    </xf>
    <xf numFmtId="41" fontId="7" fillId="0" borderId="20" xfId="2" applyFont="1" applyBorder="1">
      <alignment vertical="center"/>
    </xf>
    <xf numFmtId="41" fontId="7" fillId="0" borderId="19" xfId="2" applyFont="1" applyFill="1" applyBorder="1">
      <alignment vertical="center"/>
    </xf>
    <xf numFmtId="41" fontId="7" fillId="0" borderId="20" xfId="2" applyFont="1" applyBorder="1" applyAlignment="1">
      <alignment horizontal="center" vertical="center"/>
    </xf>
    <xf numFmtId="0" fontId="3" fillId="2" borderId="21" xfId="1" applyFont="1" applyFill="1" applyBorder="1">
      <alignment vertical="center"/>
    </xf>
    <xf numFmtId="41" fontId="3" fillId="2" borderId="22" xfId="2" applyFont="1" applyFill="1" applyBorder="1">
      <alignment vertical="center"/>
    </xf>
    <xf numFmtId="41" fontId="3" fillId="2" borderId="23" xfId="2" applyFont="1" applyFill="1" applyBorder="1">
      <alignment vertical="center"/>
    </xf>
    <xf numFmtId="41" fontId="3" fillId="2" borderId="24" xfId="2" applyFont="1" applyFill="1" applyBorder="1">
      <alignment vertical="center"/>
    </xf>
    <xf numFmtId="0" fontId="2" fillId="0" borderId="26" xfId="1" applyBorder="1">
      <alignment vertical="center"/>
    </xf>
    <xf numFmtId="0" fontId="8" fillId="0" borderId="26" xfId="1" applyFont="1" applyBorder="1">
      <alignment vertical="center"/>
    </xf>
    <xf numFmtId="41" fontId="8" fillId="0" borderId="26" xfId="2" applyFont="1" applyBorder="1">
      <alignment vertical="center"/>
    </xf>
    <xf numFmtId="0" fontId="2" fillId="0" borderId="27" xfId="1" applyBorder="1">
      <alignment vertical="center"/>
    </xf>
    <xf numFmtId="0" fontId="2" fillId="0" borderId="28" xfId="1" applyBorder="1">
      <alignment vertical="center"/>
    </xf>
    <xf numFmtId="0" fontId="9" fillId="0" borderId="0" xfId="1" applyFont="1">
      <alignment vertical="center"/>
    </xf>
    <xf numFmtId="41" fontId="9" fillId="0" borderId="0" xfId="2" applyFont="1">
      <alignment vertical="center"/>
    </xf>
    <xf numFmtId="0" fontId="2" fillId="0" borderId="29" xfId="1" applyBorder="1">
      <alignment vertical="center"/>
    </xf>
    <xf numFmtId="0" fontId="2" fillId="0" borderId="30" xfId="1" applyBorder="1">
      <alignment vertical="center"/>
    </xf>
    <xf numFmtId="0" fontId="2" fillId="0" borderId="31" xfId="1" applyBorder="1">
      <alignment vertical="center"/>
    </xf>
    <xf numFmtId="10" fontId="0" fillId="0" borderId="31" xfId="4" applyNumberFormat="1" applyFont="1" applyBorder="1">
      <alignment vertical="center"/>
    </xf>
    <xf numFmtId="0" fontId="2" fillId="0" borderId="32" xfId="1" applyBorder="1">
      <alignment vertical="center"/>
    </xf>
    <xf numFmtId="41" fontId="2" fillId="0" borderId="0" xfId="1" applyNumberFormat="1">
      <alignment vertical="center"/>
    </xf>
    <xf numFmtId="0" fontId="7" fillId="0" borderId="15" xfId="1" applyFont="1" applyFill="1" applyBorder="1" applyAlignment="1">
      <alignment horizontal="center" vertical="center"/>
    </xf>
    <xf numFmtId="176" fontId="7" fillId="0" borderId="15" xfId="2" applyNumberFormat="1" applyFont="1" applyFill="1" applyBorder="1">
      <alignment vertical="center"/>
    </xf>
    <xf numFmtId="43" fontId="7" fillId="0" borderId="15" xfId="2" applyNumberFormat="1" applyFont="1" applyFill="1" applyBorder="1">
      <alignment vertical="center"/>
    </xf>
    <xf numFmtId="0" fontId="7" fillId="0" borderId="19" xfId="1" applyFont="1" applyFill="1" applyBorder="1" applyAlignment="1">
      <alignment horizontal="center" vertical="center"/>
    </xf>
    <xf numFmtId="176" fontId="7" fillId="0" borderId="19" xfId="2" applyNumberFormat="1" applyFont="1" applyFill="1" applyBorder="1">
      <alignment vertical="center"/>
    </xf>
    <xf numFmtId="43" fontId="7" fillId="0" borderId="19" xfId="2" applyNumberFormat="1" applyFont="1" applyFill="1" applyBorder="1">
      <alignment vertical="center"/>
    </xf>
    <xf numFmtId="0" fontId="7" fillId="0" borderId="19" xfId="1" applyFont="1" applyFill="1" applyBorder="1">
      <alignment vertical="center"/>
    </xf>
    <xf numFmtId="41" fontId="7" fillId="0" borderId="15" xfId="2" applyFont="1" applyFill="1" applyBorder="1">
      <alignment vertical="center"/>
    </xf>
    <xf numFmtId="0" fontId="10" fillId="0" borderId="25" xfId="1" applyFont="1" applyBorder="1">
      <alignment vertical="center"/>
    </xf>
    <xf numFmtId="0" fontId="6" fillId="0" borderId="2" xfId="1" applyFont="1" applyBorder="1" applyAlignment="1">
      <alignment horizontal="distributed" vertical="center" indent="8"/>
    </xf>
    <xf numFmtId="0" fontId="6" fillId="0" borderId="5" xfId="1" applyFont="1" applyBorder="1" applyAlignment="1">
      <alignment horizontal="distributed" vertical="center" indent="8"/>
    </xf>
    <xf numFmtId="0" fontId="6" fillId="0" borderId="8" xfId="1" applyFont="1" applyBorder="1" applyAlignment="1">
      <alignment horizontal="distributed" vertical="center" indent="8"/>
    </xf>
  </cellXfs>
  <cellStyles count="5">
    <cellStyle name="백분율 2" xfId="3" xr:uid="{7C478204-FA37-4EEF-964A-9C0829C7CF94}"/>
    <cellStyle name="백분율 3" xfId="4" xr:uid="{7BBFD579-D1F3-472E-A83F-C118E3648BD7}"/>
    <cellStyle name="쉼표 [0] 3" xfId="2" xr:uid="{DC3B6724-63BF-4708-8A88-417A105A7011}"/>
    <cellStyle name="표준" xfId="0" builtinId="0"/>
    <cellStyle name="표준 3" xfId="1" xr:uid="{D1F618CD-4890-4A9D-8119-E18C5B0C3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40206\2.%20&#51652;&#54665;&#54788;&#51109;\&#54620;&#54868;&#44148;&#49444;_&#52380;&#50504;&#45432;&#53468;&#44277;&#50896;\5.%20&#51068;&#50948;&#45824;&#44032;\&#51068;&#50948;&#45824;&#44032;%20&#50577;&#49885;\&#49436;&#51116;&#54805;_&#52380;&#50504;&#45432;&#53468;&#44277;&#50896;2&#45800;&#51648;_&#51068;&#50948;&#45824;&#44032;&#51089;&#49457;_2306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벽체_입력"/>
      <sheetName val="벽체_일위대가(실행,제출)"/>
      <sheetName val="천정_입력"/>
      <sheetName val="천정_일위대가(실행,제출)"/>
    </sheetNames>
    <sheetDataSet>
      <sheetData sheetId="0">
        <row r="3">
          <cell r="D3">
            <v>850</v>
          </cell>
        </row>
        <row r="4">
          <cell r="D4">
            <v>1270</v>
          </cell>
        </row>
        <row r="5">
          <cell r="D5">
            <v>1360</v>
          </cell>
        </row>
        <row r="6">
          <cell r="D6">
            <v>1400</v>
          </cell>
        </row>
        <row r="7">
          <cell r="D7">
            <v>1440</v>
          </cell>
        </row>
        <row r="8">
          <cell r="D8">
            <v>1490</v>
          </cell>
        </row>
        <row r="9">
          <cell r="D9">
            <v>1530</v>
          </cell>
        </row>
        <row r="10">
          <cell r="D10">
            <v>1610</v>
          </cell>
        </row>
        <row r="11">
          <cell r="D11">
            <v>1670</v>
          </cell>
        </row>
        <row r="12">
          <cell r="D12">
            <v>1780</v>
          </cell>
        </row>
        <row r="13">
          <cell r="D13">
            <v>1870</v>
          </cell>
        </row>
        <row r="14">
          <cell r="D14">
            <v>1910</v>
          </cell>
        </row>
        <row r="15">
          <cell r="D15">
            <v>1950</v>
          </cell>
        </row>
        <row r="16">
          <cell r="D16">
            <v>2040</v>
          </cell>
        </row>
        <row r="17">
          <cell r="D17">
            <v>2120</v>
          </cell>
        </row>
        <row r="18">
          <cell r="D18">
            <v>2210</v>
          </cell>
        </row>
        <row r="19">
          <cell r="D19">
            <v>2290</v>
          </cell>
        </row>
        <row r="20">
          <cell r="D20">
            <v>2380</v>
          </cell>
        </row>
        <row r="21">
          <cell r="D21">
            <v>2610</v>
          </cell>
        </row>
        <row r="22">
          <cell r="D22">
            <v>2720</v>
          </cell>
        </row>
        <row r="23">
          <cell r="D23">
            <v>2310</v>
          </cell>
        </row>
        <row r="24">
          <cell r="D24">
            <v>2460</v>
          </cell>
        </row>
        <row r="25">
          <cell r="D25">
            <v>2530</v>
          </cell>
        </row>
        <row r="26">
          <cell r="D26">
            <v>2710</v>
          </cell>
        </row>
        <row r="27">
          <cell r="D27">
            <v>2940</v>
          </cell>
        </row>
        <row r="28">
          <cell r="D28">
            <v>1970</v>
          </cell>
        </row>
        <row r="29">
          <cell r="D29">
            <v>1910</v>
          </cell>
        </row>
        <row r="30">
          <cell r="D30">
            <v>2050</v>
          </cell>
        </row>
        <row r="31">
          <cell r="D31">
            <v>2130</v>
          </cell>
        </row>
        <row r="32">
          <cell r="D32">
            <v>2350</v>
          </cell>
        </row>
        <row r="33">
          <cell r="D33">
            <v>2560</v>
          </cell>
        </row>
        <row r="34">
          <cell r="D34">
            <v>2370</v>
          </cell>
        </row>
        <row r="35">
          <cell r="D35">
            <v>2480</v>
          </cell>
        </row>
        <row r="36">
          <cell r="D36">
            <v>2620</v>
          </cell>
        </row>
        <row r="37">
          <cell r="D37">
            <v>2730</v>
          </cell>
        </row>
        <row r="38">
          <cell r="D38">
            <v>3100</v>
          </cell>
        </row>
        <row r="39">
          <cell r="D39">
            <v>3340</v>
          </cell>
        </row>
        <row r="40">
          <cell r="D40">
            <v>2760</v>
          </cell>
        </row>
        <row r="41">
          <cell r="D41">
            <v>3010</v>
          </cell>
        </row>
        <row r="42">
          <cell r="D42">
            <v>3530</v>
          </cell>
        </row>
        <row r="43">
          <cell r="D43">
            <v>3910</v>
          </cell>
        </row>
        <row r="44">
          <cell r="D44">
            <v>770</v>
          </cell>
        </row>
        <row r="45">
          <cell r="D45">
            <v>1090</v>
          </cell>
        </row>
        <row r="46">
          <cell r="D46">
            <v>1170</v>
          </cell>
        </row>
        <row r="47">
          <cell r="D47">
            <v>1200</v>
          </cell>
        </row>
        <row r="48">
          <cell r="D48">
            <v>1260</v>
          </cell>
        </row>
        <row r="49">
          <cell r="D49">
            <v>1300</v>
          </cell>
        </row>
        <row r="50">
          <cell r="D50">
            <v>1340</v>
          </cell>
        </row>
        <row r="51">
          <cell r="D51">
            <v>1430</v>
          </cell>
        </row>
        <row r="52">
          <cell r="D52">
            <v>1480</v>
          </cell>
        </row>
        <row r="53">
          <cell r="D53">
            <v>1600</v>
          </cell>
        </row>
        <row r="54">
          <cell r="D54">
            <v>1680</v>
          </cell>
        </row>
        <row r="55">
          <cell r="D55">
            <v>1720</v>
          </cell>
        </row>
        <row r="56">
          <cell r="D56">
            <v>1770</v>
          </cell>
        </row>
        <row r="57">
          <cell r="D57">
            <v>1850</v>
          </cell>
        </row>
        <row r="58">
          <cell r="D58">
            <v>1940</v>
          </cell>
        </row>
        <row r="59">
          <cell r="D59">
            <v>2020</v>
          </cell>
        </row>
        <row r="60">
          <cell r="D60">
            <v>2110</v>
          </cell>
        </row>
        <row r="61">
          <cell r="D61">
            <v>2190</v>
          </cell>
        </row>
        <row r="62">
          <cell r="D62">
            <v>2540</v>
          </cell>
        </row>
        <row r="63">
          <cell r="D63">
            <v>2680</v>
          </cell>
        </row>
        <row r="64">
          <cell r="D64">
            <v>1450</v>
          </cell>
        </row>
        <row r="65">
          <cell r="D65">
            <v>1600</v>
          </cell>
        </row>
        <row r="66">
          <cell r="D66">
            <v>1650</v>
          </cell>
        </row>
        <row r="67">
          <cell r="D67">
            <v>1820</v>
          </cell>
        </row>
        <row r="68">
          <cell r="D68">
            <v>2010</v>
          </cell>
        </row>
        <row r="69">
          <cell r="D69">
            <v>1210</v>
          </cell>
        </row>
        <row r="70">
          <cell r="D70">
            <v>1200</v>
          </cell>
        </row>
        <row r="71">
          <cell r="D71">
            <v>1340</v>
          </cell>
        </row>
        <row r="72">
          <cell r="D72">
            <v>1430</v>
          </cell>
        </row>
        <row r="73">
          <cell r="D73">
            <v>1640</v>
          </cell>
        </row>
        <row r="74">
          <cell r="D74">
            <v>1850</v>
          </cell>
        </row>
        <row r="75">
          <cell r="D75">
            <v>1060</v>
          </cell>
        </row>
        <row r="76">
          <cell r="D76">
            <v>1160</v>
          </cell>
        </row>
        <row r="77">
          <cell r="D77">
            <v>1250</v>
          </cell>
        </row>
        <row r="78">
          <cell r="D78">
            <v>1370</v>
          </cell>
        </row>
        <row r="79">
          <cell r="D79">
            <v>1560</v>
          </cell>
        </row>
        <row r="80">
          <cell r="D80">
            <v>1610</v>
          </cell>
        </row>
        <row r="81">
          <cell r="D81">
            <v>1800</v>
          </cell>
        </row>
        <row r="82">
          <cell r="D82">
            <v>2120</v>
          </cell>
        </row>
        <row r="83">
          <cell r="D83">
            <v>1930</v>
          </cell>
        </row>
        <row r="84">
          <cell r="D84">
            <v>2210</v>
          </cell>
        </row>
        <row r="85">
          <cell r="D85">
            <v>2500</v>
          </cell>
        </row>
        <row r="86">
          <cell r="D86">
            <v>2760</v>
          </cell>
        </row>
        <row r="87">
          <cell r="D87">
            <v>3360</v>
          </cell>
        </row>
        <row r="88">
          <cell r="D88">
            <v>4490</v>
          </cell>
        </row>
        <row r="89">
          <cell r="D89">
            <v>5040</v>
          </cell>
        </row>
        <row r="90">
          <cell r="D90">
            <v>5980</v>
          </cell>
        </row>
        <row r="91">
          <cell r="D91">
            <v>4520</v>
          </cell>
        </row>
        <row r="92">
          <cell r="D92">
            <v>6010</v>
          </cell>
        </row>
        <row r="93">
          <cell r="D93">
            <v>6760</v>
          </cell>
        </row>
        <row r="94">
          <cell r="D94">
            <v>8020</v>
          </cell>
        </row>
        <row r="95">
          <cell r="D95">
            <v>3630</v>
          </cell>
        </row>
        <row r="96">
          <cell r="D96">
            <v>4840</v>
          </cell>
        </row>
        <row r="97">
          <cell r="D97">
            <v>5440</v>
          </cell>
        </row>
        <row r="98">
          <cell r="D98">
            <v>6450</v>
          </cell>
        </row>
        <row r="99">
          <cell r="D99">
            <v>4870</v>
          </cell>
        </row>
        <row r="100">
          <cell r="D100">
            <v>6480</v>
          </cell>
        </row>
        <row r="101">
          <cell r="D101">
            <v>7300</v>
          </cell>
        </row>
        <row r="102">
          <cell r="D102">
            <v>8660</v>
          </cell>
        </row>
        <row r="103">
          <cell r="D103">
            <v>5780</v>
          </cell>
        </row>
        <row r="104">
          <cell r="D104">
            <v>7700</v>
          </cell>
        </row>
        <row r="105">
          <cell r="D105">
            <v>8670</v>
          </cell>
        </row>
        <row r="106">
          <cell r="D106">
            <v>10280</v>
          </cell>
        </row>
        <row r="107">
          <cell r="D107">
            <v>7260</v>
          </cell>
        </row>
        <row r="108">
          <cell r="D108">
            <v>9690</v>
          </cell>
        </row>
        <row r="109">
          <cell r="D109">
            <v>12920</v>
          </cell>
        </row>
        <row r="110">
          <cell r="D110">
            <v>10080</v>
          </cell>
        </row>
        <row r="111">
          <cell r="D111">
            <v>13440</v>
          </cell>
        </row>
        <row r="112">
          <cell r="D112">
            <v>17930</v>
          </cell>
        </row>
        <row r="113">
          <cell r="D113">
            <v>9540</v>
          </cell>
        </row>
        <row r="114">
          <cell r="D114">
            <v>5380</v>
          </cell>
        </row>
        <row r="115">
          <cell r="D115">
            <v>7180</v>
          </cell>
        </row>
        <row r="116">
          <cell r="D116">
            <v>8060</v>
          </cell>
        </row>
        <row r="117">
          <cell r="D117">
            <v>9560</v>
          </cell>
        </row>
        <row r="118">
          <cell r="D118">
            <v>7660</v>
          </cell>
        </row>
        <row r="119">
          <cell r="D119">
            <v>10210</v>
          </cell>
        </row>
        <row r="120">
          <cell r="D120">
            <v>11490</v>
          </cell>
        </row>
        <row r="121">
          <cell r="D121">
            <v>13630</v>
          </cell>
        </row>
        <row r="122">
          <cell r="D122">
            <v>10420</v>
          </cell>
        </row>
        <row r="123">
          <cell r="D123">
            <v>13900</v>
          </cell>
        </row>
        <row r="124">
          <cell r="D124">
            <v>9580</v>
          </cell>
        </row>
        <row r="125">
          <cell r="D125">
            <v>12760</v>
          </cell>
        </row>
        <row r="126">
          <cell r="D126">
            <v>14370</v>
          </cell>
        </row>
        <row r="127">
          <cell r="D127">
            <v>17040</v>
          </cell>
        </row>
        <row r="128">
          <cell r="D128">
            <v>11660</v>
          </cell>
        </row>
        <row r="129">
          <cell r="D129">
            <v>15570</v>
          </cell>
        </row>
        <row r="130">
          <cell r="D130">
            <v>20750</v>
          </cell>
        </row>
        <row r="131">
          <cell r="D131">
            <v>14920</v>
          </cell>
        </row>
        <row r="132">
          <cell r="D132">
            <v>19880</v>
          </cell>
        </row>
        <row r="133">
          <cell r="D133">
            <v>26530</v>
          </cell>
        </row>
        <row r="134">
          <cell r="D134">
            <v>70</v>
          </cell>
        </row>
        <row r="135">
          <cell r="D135">
            <v>680</v>
          </cell>
        </row>
        <row r="136">
          <cell r="D136">
            <v>17</v>
          </cell>
        </row>
        <row r="137">
          <cell r="D137">
            <v>140</v>
          </cell>
        </row>
        <row r="138">
          <cell r="D138">
            <v>695</v>
          </cell>
        </row>
        <row r="139">
          <cell r="D139">
            <v>80</v>
          </cell>
        </row>
        <row r="140">
          <cell r="D140">
            <v>425</v>
          </cell>
        </row>
        <row r="141">
          <cell r="D141">
            <v>86</v>
          </cell>
        </row>
        <row r="142">
          <cell r="D142">
            <v>120</v>
          </cell>
        </row>
        <row r="143">
          <cell r="D143">
            <v>515</v>
          </cell>
        </row>
        <row r="144">
          <cell r="D144">
            <v>45</v>
          </cell>
        </row>
        <row r="145">
          <cell r="D145">
            <v>55</v>
          </cell>
        </row>
        <row r="146">
          <cell r="D146">
            <v>9</v>
          </cell>
        </row>
        <row r="147">
          <cell r="D147">
            <v>740</v>
          </cell>
        </row>
        <row r="148">
          <cell r="D148">
            <v>660</v>
          </cell>
        </row>
        <row r="149">
          <cell r="D149">
            <v>670</v>
          </cell>
        </row>
        <row r="150">
          <cell r="D150">
            <v>520</v>
          </cell>
        </row>
        <row r="151">
          <cell r="D151">
            <v>100</v>
          </cell>
        </row>
        <row r="152">
          <cell r="D152">
            <v>665</v>
          </cell>
        </row>
        <row r="153">
          <cell r="D153">
            <v>80</v>
          </cell>
        </row>
        <row r="154">
          <cell r="D154">
            <v>40</v>
          </cell>
        </row>
        <row r="155">
          <cell r="D155">
            <v>200</v>
          </cell>
        </row>
        <row r="156">
          <cell r="D156">
            <v>120</v>
          </cell>
        </row>
        <row r="157">
          <cell r="D157">
            <v>850</v>
          </cell>
        </row>
        <row r="158">
          <cell r="D158">
            <v>150</v>
          </cell>
        </row>
        <row r="159">
          <cell r="D159">
            <v>2250</v>
          </cell>
        </row>
        <row r="160">
          <cell r="D160">
            <v>150</v>
          </cell>
        </row>
        <row r="161">
          <cell r="D161">
            <v>2050</v>
          </cell>
        </row>
        <row r="162">
          <cell r="D162">
            <v>360</v>
          </cell>
        </row>
        <row r="163">
          <cell r="D163">
            <v>1090</v>
          </cell>
        </row>
        <row r="164">
          <cell r="D164">
            <v>1090</v>
          </cell>
        </row>
        <row r="165">
          <cell r="D165">
            <v>120</v>
          </cell>
        </row>
        <row r="166">
          <cell r="D166">
            <v>240</v>
          </cell>
        </row>
        <row r="167">
          <cell r="D167">
            <v>1490</v>
          </cell>
        </row>
        <row r="168">
          <cell r="D168">
            <v>100</v>
          </cell>
        </row>
        <row r="169">
          <cell r="D169">
            <v>1210</v>
          </cell>
        </row>
        <row r="170">
          <cell r="D170">
            <v>820</v>
          </cell>
        </row>
        <row r="171">
          <cell r="D171">
            <v>80</v>
          </cell>
        </row>
        <row r="172">
          <cell r="D172">
            <v>200</v>
          </cell>
        </row>
        <row r="173">
          <cell r="D173">
            <v>50</v>
          </cell>
        </row>
        <row r="174">
          <cell r="D174">
            <v>1246</v>
          </cell>
        </row>
        <row r="175">
          <cell r="D175">
            <v>450</v>
          </cell>
        </row>
        <row r="176">
          <cell r="D176">
            <v>1140</v>
          </cell>
        </row>
        <row r="177">
          <cell r="D177">
            <v>250</v>
          </cell>
        </row>
        <row r="178">
          <cell r="D178">
            <v>1140</v>
          </cell>
        </row>
        <row r="179">
          <cell r="D179">
            <v>200</v>
          </cell>
        </row>
        <row r="180">
          <cell r="D180">
            <v>360</v>
          </cell>
        </row>
        <row r="181">
          <cell r="D181">
            <v>70</v>
          </cell>
        </row>
        <row r="182">
          <cell r="D182">
            <v>120</v>
          </cell>
        </row>
        <row r="183">
          <cell r="D183">
            <v>480</v>
          </cell>
        </row>
        <row r="184">
          <cell r="D184">
            <v>600</v>
          </cell>
        </row>
        <row r="185">
          <cell r="D185">
            <v>770</v>
          </cell>
        </row>
        <row r="186">
          <cell r="D186">
            <v>850</v>
          </cell>
        </row>
        <row r="187">
          <cell r="D187">
            <v>9</v>
          </cell>
        </row>
        <row r="188">
          <cell r="D188">
            <v>458.33333333333331</v>
          </cell>
        </row>
        <row r="189">
          <cell r="D189">
            <v>140</v>
          </cell>
        </row>
        <row r="190">
          <cell r="D190">
            <v>325</v>
          </cell>
        </row>
        <row r="191">
          <cell r="D191">
            <v>580</v>
          </cell>
        </row>
        <row r="192">
          <cell r="D192">
            <v>3360</v>
          </cell>
        </row>
        <row r="193">
          <cell r="D193">
            <v>4520</v>
          </cell>
        </row>
        <row r="194">
          <cell r="D194">
            <v>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46EE-B9C2-4F35-99FF-3A9F611BED20}">
  <sheetPr>
    <tabColor rgb="FF0070C0"/>
  </sheetPr>
  <dimension ref="A1:P32"/>
  <sheetViews>
    <sheetView showGridLines="0" tabSelected="1" view="pageBreakPreview" zoomScale="85" zoomScaleNormal="100" zoomScaleSheetLayoutView="85" workbookViewId="0">
      <selection activeCell="C9" sqref="C9"/>
    </sheetView>
  </sheetViews>
  <sheetFormatPr defaultColWidth="9" defaultRowHeight="18.75" customHeight="1"/>
  <cols>
    <col min="1" max="2" width="8.58203125" style="6" customWidth="1"/>
    <col min="3" max="3" width="20.58203125" style="6" customWidth="1"/>
    <col min="4" max="4" width="5.58203125" style="6" customWidth="1"/>
    <col min="5" max="5" width="7.58203125" style="6" customWidth="1"/>
    <col min="6" max="6" width="8.08203125" style="6" customWidth="1"/>
    <col min="7" max="7" width="9.58203125" style="6" customWidth="1"/>
    <col min="8" max="8" width="8.08203125" style="6" customWidth="1"/>
    <col min="9" max="9" width="9.58203125" style="6" customWidth="1"/>
    <col min="10" max="10" width="8.08203125" style="6" customWidth="1"/>
    <col min="11" max="11" width="9.58203125" style="6" customWidth="1"/>
    <col min="12" max="12" width="8.58203125" style="6" customWidth="1"/>
    <col min="13" max="14" width="9.58203125" style="6" customWidth="1"/>
    <col min="15" max="16384" width="9" style="6"/>
  </cols>
  <sheetData>
    <row r="1" spans="1:16" ht="18.75" customHeight="1">
      <c r="A1" s="1" t="s">
        <v>0</v>
      </c>
      <c r="B1" s="2">
        <v>1</v>
      </c>
      <c r="C1" s="63" t="s">
        <v>14</v>
      </c>
      <c r="D1" s="63"/>
      <c r="E1" s="63"/>
      <c r="F1" s="63"/>
      <c r="G1" s="63"/>
      <c r="H1" s="63"/>
      <c r="I1" s="63"/>
      <c r="J1" s="3" t="s">
        <v>1</v>
      </c>
      <c r="K1" s="4"/>
      <c r="L1" s="4"/>
      <c r="M1" s="4"/>
      <c r="N1" s="5"/>
      <c r="P1" s="7"/>
    </row>
    <row r="2" spans="1:16" ht="18.75" customHeight="1">
      <c r="A2" s="8"/>
      <c r="B2" s="9"/>
      <c r="C2" s="64"/>
      <c r="D2" s="64"/>
      <c r="E2" s="64"/>
      <c r="F2" s="64"/>
      <c r="G2" s="64"/>
      <c r="H2" s="64"/>
      <c r="I2" s="64"/>
      <c r="J2" s="10" t="s">
        <v>2</v>
      </c>
      <c r="K2" s="11"/>
      <c r="L2" s="11"/>
      <c r="M2" s="11"/>
      <c r="N2" s="12"/>
    </row>
    <row r="3" spans="1:16" ht="18.75" customHeight="1" thickBot="1">
      <c r="A3" s="13"/>
      <c r="B3" s="14"/>
      <c r="C3" s="65"/>
      <c r="D3" s="65"/>
      <c r="E3" s="65"/>
      <c r="F3" s="65"/>
      <c r="G3" s="65"/>
      <c r="H3" s="65"/>
      <c r="I3" s="65"/>
      <c r="J3" s="15" t="s">
        <v>3</v>
      </c>
      <c r="K3" s="16"/>
      <c r="L3" s="16"/>
      <c r="M3" s="16"/>
      <c r="N3" s="17"/>
    </row>
    <row r="4" spans="1:16" ht="18.75" customHeight="1">
      <c r="A4" s="18" t="s">
        <v>1</v>
      </c>
      <c r="B4" s="19"/>
      <c r="C4" s="19" t="s">
        <v>2</v>
      </c>
      <c r="D4" s="19" t="s">
        <v>4</v>
      </c>
      <c r="E4" s="19" t="s">
        <v>5</v>
      </c>
      <c r="F4" s="19" t="s">
        <v>6</v>
      </c>
      <c r="G4" s="19"/>
      <c r="H4" s="19" t="s">
        <v>7</v>
      </c>
      <c r="I4" s="19"/>
      <c r="J4" s="19" t="s">
        <v>8</v>
      </c>
      <c r="K4" s="19"/>
      <c r="L4" s="19" t="s">
        <v>9</v>
      </c>
      <c r="M4" s="19"/>
      <c r="N4" s="20" t="s">
        <v>10</v>
      </c>
    </row>
    <row r="5" spans="1:16" ht="18.75" customHeight="1" thickBot="1">
      <c r="A5" s="21"/>
      <c r="B5" s="22"/>
      <c r="C5" s="22"/>
      <c r="D5" s="22"/>
      <c r="E5" s="22"/>
      <c r="F5" s="23" t="s">
        <v>11</v>
      </c>
      <c r="G5" s="23" t="s">
        <v>12</v>
      </c>
      <c r="H5" s="23" t="s">
        <v>11</v>
      </c>
      <c r="I5" s="23" t="s">
        <v>12</v>
      </c>
      <c r="J5" s="23" t="s">
        <v>11</v>
      </c>
      <c r="K5" s="23" t="s">
        <v>12</v>
      </c>
      <c r="L5" s="23" t="s">
        <v>11</v>
      </c>
      <c r="M5" s="23" t="s">
        <v>12</v>
      </c>
      <c r="N5" s="24"/>
    </row>
    <row r="6" spans="1:16" ht="18.75" customHeight="1" thickTop="1">
      <c r="A6" s="25"/>
      <c r="B6" s="26"/>
      <c r="C6" s="27"/>
      <c r="D6" s="54"/>
      <c r="E6" s="55"/>
      <c r="F6" s="56"/>
      <c r="G6" s="61">
        <f>E6*F6</f>
        <v>0</v>
      </c>
      <c r="H6" s="28"/>
      <c r="I6" s="28">
        <f>E6*H6</f>
        <v>0</v>
      </c>
      <c r="J6" s="28"/>
      <c r="K6" s="28">
        <f>E6*J6</f>
        <v>0</v>
      </c>
      <c r="L6" s="28">
        <f>F6+H6+J6</f>
        <v>0</v>
      </c>
      <c r="M6" s="28">
        <f>G6+I6+K6</f>
        <v>0</v>
      </c>
      <c r="N6" s="29"/>
    </row>
    <row r="7" spans="1:16" ht="18.75" customHeight="1">
      <c r="A7" s="30"/>
      <c r="B7" s="31"/>
      <c r="C7" s="32"/>
      <c r="D7" s="57"/>
      <c r="E7" s="58"/>
      <c r="F7" s="35"/>
      <c r="G7" s="35">
        <f t="shared" ref="G7:G25" si="0">E7*F7</f>
        <v>0</v>
      </c>
      <c r="H7" s="33"/>
      <c r="I7" s="33">
        <f t="shared" ref="I7:I25" si="1">E7*H7</f>
        <v>0</v>
      </c>
      <c r="J7" s="33"/>
      <c r="K7" s="33">
        <f t="shared" ref="K7:K25" si="2">E7*J7</f>
        <v>0</v>
      </c>
      <c r="L7" s="33">
        <f t="shared" ref="L7:L25" si="3">F7+H7+J7</f>
        <v>0</v>
      </c>
      <c r="M7" s="33">
        <f t="shared" ref="M7:M25" si="4">G7+I7+K7</f>
        <v>0</v>
      </c>
      <c r="N7" s="34"/>
    </row>
    <row r="8" spans="1:16" ht="18.75" customHeight="1">
      <c r="A8" s="30"/>
      <c r="B8" s="31"/>
      <c r="C8" s="32"/>
      <c r="D8" s="57"/>
      <c r="E8" s="58"/>
      <c r="F8" s="35"/>
      <c r="G8" s="35">
        <f t="shared" si="0"/>
        <v>0</v>
      </c>
      <c r="H8" s="33"/>
      <c r="I8" s="33">
        <f t="shared" si="1"/>
        <v>0</v>
      </c>
      <c r="J8" s="33"/>
      <c r="K8" s="33">
        <f t="shared" si="2"/>
        <v>0</v>
      </c>
      <c r="L8" s="33">
        <f t="shared" si="3"/>
        <v>0</v>
      </c>
      <c r="M8" s="33">
        <f t="shared" si="4"/>
        <v>0</v>
      </c>
      <c r="N8" s="36"/>
    </row>
    <row r="9" spans="1:16" ht="18.75" customHeight="1">
      <c r="A9" s="30"/>
      <c r="B9" s="31"/>
      <c r="C9" s="32"/>
      <c r="D9" s="57"/>
      <c r="E9" s="58"/>
      <c r="F9" s="35"/>
      <c r="G9" s="35">
        <f t="shared" si="0"/>
        <v>0</v>
      </c>
      <c r="H9" s="33"/>
      <c r="I9" s="33">
        <f t="shared" si="1"/>
        <v>0</v>
      </c>
      <c r="J9" s="33"/>
      <c r="K9" s="33">
        <f t="shared" si="2"/>
        <v>0</v>
      </c>
      <c r="L9" s="33">
        <f t="shared" si="3"/>
        <v>0</v>
      </c>
      <c r="M9" s="33">
        <f t="shared" si="4"/>
        <v>0</v>
      </c>
      <c r="N9" s="34"/>
    </row>
    <row r="10" spans="1:16" ht="18.75" customHeight="1">
      <c r="A10" s="30"/>
      <c r="B10" s="31"/>
      <c r="C10" s="32"/>
      <c r="D10" s="57"/>
      <c r="E10" s="58"/>
      <c r="F10" s="35"/>
      <c r="G10" s="35">
        <f t="shared" si="0"/>
        <v>0</v>
      </c>
      <c r="H10" s="33"/>
      <c r="I10" s="33">
        <f t="shared" si="1"/>
        <v>0</v>
      </c>
      <c r="J10" s="33"/>
      <c r="K10" s="33">
        <f t="shared" si="2"/>
        <v>0</v>
      </c>
      <c r="L10" s="33">
        <f t="shared" si="3"/>
        <v>0</v>
      </c>
      <c r="M10" s="33">
        <f t="shared" si="4"/>
        <v>0</v>
      </c>
      <c r="N10" s="34"/>
    </row>
    <row r="11" spans="1:16" ht="18.75" customHeight="1">
      <c r="A11" s="30"/>
      <c r="B11" s="31"/>
      <c r="C11" s="32"/>
      <c r="D11" s="57"/>
      <c r="E11" s="58"/>
      <c r="F11" s="35"/>
      <c r="G11" s="35">
        <f t="shared" si="0"/>
        <v>0</v>
      </c>
      <c r="H11" s="33"/>
      <c r="I11" s="33">
        <f t="shared" si="1"/>
        <v>0</v>
      </c>
      <c r="J11" s="33"/>
      <c r="K11" s="33">
        <f t="shared" si="2"/>
        <v>0</v>
      </c>
      <c r="L11" s="33">
        <f t="shared" si="3"/>
        <v>0</v>
      </c>
      <c r="M11" s="33">
        <f t="shared" si="4"/>
        <v>0</v>
      </c>
      <c r="N11" s="34"/>
    </row>
    <row r="12" spans="1:16" ht="18.75" customHeight="1">
      <c r="A12" s="30"/>
      <c r="B12" s="31"/>
      <c r="C12" s="32"/>
      <c r="D12" s="57"/>
      <c r="E12" s="58"/>
      <c r="F12" s="35"/>
      <c r="G12" s="35">
        <f t="shared" si="0"/>
        <v>0</v>
      </c>
      <c r="H12" s="33"/>
      <c r="I12" s="33">
        <f t="shared" si="1"/>
        <v>0</v>
      </c>
      <c r="J12" s="33"/>
      <c r="K12" s="33">
        <f t="shared" si="2"/>
        <v>0</v>
      </c>
      <c r="L12" s="33">
        <f t="shared" si="3"/>
        <v>0</v>
      </c>
      <c r="M12" s="33">
        <f t="shared" si="4"/>
        <v>0</v>
      </c>
      <c r="N12" s="34"/>
    </row>
    <row r="13" spans="1:16" ht="18.75" customHeight="1">
      <c r="A13" s="30"/>
      <c r="B13" s="31"/>
      <c r="C13" s="32"/>
      <c r="D13" s="57"/>
      <c r="E13" s="58"/>
      <c r="F13" s="35"/>
      <c r="G13" s="35">
        <f t="shared" si="0"/>
        <v>0</v>
      </c>
      <c r="H13" s="33"/>
      <c r="I13" s="33">
        <f t="shared" si="1"/>
        <v>0</v>
      </c>
      <c r="J13" s="33"/>
      <c r="K13" s="33">
        <f t="shared" si="2"/>
        <v>0</v>
      </c>
      <c r="L13" s="33">
        <f t="shared" si="3"/>
        <v>0</v>
      </c>
      <c r="M13" s="33">
        <f t="shared" si="4"/>
        <v>0</v>
      </c>
      <c r="N13" s="34"/>
    </row>
    <row r="14" spans="1:16" ht="18.75" customHeight="1">
      <c r="A14" s="30"/>
      <c r="B14" s="31"/>
      <c r="C14" s="32"/>
      <c r="D14" s="57"/>
      <c r="E14" s="58"/>
      <c r="F14" s="35"/>
      <c r="G14" s="35">
        <f t="shared" si="0"/>
        <v>0</v>
      </c>
      <c r="H14" s="33"/>
      <c r="I14" s="33">
        <f t="shared" si="1"/>
        <v>0</v>
      </c>
      <c r="J14" s="33"/>
      <c r="K14" s="33">
        <f t="shared" si="2"/>
        <v>0</v>
      </c>
      <c r="L14" s="33">
        <f t="shared" si="3"/>
        <v>0</v>
      </c>
      <c r="M14" s="33">
        <f t="shared" si="4"/>
        <v>0</v>
      </c>
      <c r="N14" s="34"/>
    </row>
    <row r="15" spans="1:16" ht="18.75" customHeight="1">
      <c r="A15" s="30"/>
      <c r="B15" s="31"/>
      <c r="C15" s="32"/>
      <c r="D15" s="57"/>
      <c r="E15" s="58"/>
      <c r="F15" s="35"/>
      <c r="G15" s="35">
        <f t="shared" si="0"/>
        <v>0</v>
      </c>
      <c r="H15" s="33"/>
      <c r="I15" s="33">
        <f t="shared" si="1"/>
        <v>0</v>
      </c>
      <c r="J15" s="33"/>
      <c r="K15" s="33">
        <f t="shared" si="2"/>
        <v>0</v>
      </c>
      <c r="L15" s="33">
        <f t="shared" si="3"/>
        <v>0</v>
      </c>
      <c r="M15" s="33">
        <f t="shared" si="4"/>
        <v>0</v>
      </c>
      <c r="N15" s="34"/>
    </row>
    <row r="16" spans="1:16" ht="18.75" customHeight="1">
      <c r="A16" s="30"/>
      <c r="B16" s="31"/>
      <c r="C16" s="32"/>
      <c r="D16" s="57"/>
      <c r="E16" s="58"/>
      <c r="F16" s="35"/>
      <c r="G16" s="35">
        <f t="shared" si="0"/>
        <v>0</v>
      </c>
      <c r="H16" s="33"/>
      <c r="I16" s="33">
        <f t="shared" si="1"/>
        <v>0</v>
      </c>
      <c r="J16" s="33"/>
      <c r="K16" s="33">
        <f t="shared" si="2"/>
        <v>0</v>
      </c>
      <c r="L16" s="33">
        <f t="shared" si="3"/>
        <v>0</v>
      </c>
      <c r="M16" s="33">
        <f t="shared" si="4"/>
        <v>0</v>
      </c>
      <c r="N16" s="34"/>
    </row>
    <row r="17" spans="1:14" ht="18.75" customHeight="1">
      <c r="A17" s="30"/>
      <c r="B17" s="31"/>
      <c r="C17" s="32"/>
      <c r="D17" s="57"/>
      <c r="E17" s="58"/>
      <c r="F17" s="35"/>
      <c r="G17" s="35">
        <f t="shared" si="0"/>
        <v>0</v>
      </c>
      <c r="H17" s="33"/>
      <c r="I17" s="33">
        <f t="shared" si="1"/>
        <v>0</v>
      </c>
      <c r="J17" s="33"/>
      <c r="K17" s="33">
        <f t="shared" si="2"/>
        <v>0</v>
      </c>
      <c r="L17" s="33">
        <f t="shared" si="3"/>
        <v>0</v>
      </c>
      <c r="M17" s="33">
        <f t="shared" si="4"/>
        <v>0</v>
      </c>
      <c r="N17" s="34"/>
    </row>
    <row r="18" spans="1:14" ht="18.75" customHeight="1">
      <c r="A18" s="30"/>
      <c r="B18" s="31"/>
      <c r="C18" s="32"/>
      <c r="D18" s="57"/>
      <c r="E18" s="58"/>
      <c r="F18" s="35"/>
      <c r="G18" s="33">
        <f t="shared" si="0"/>
        <v>0</v>
      </c>
      <c r="H18" s="33"/>
      <c r="I18" s="33">
        <f t="shared" si="1"/>
        <v>0</v>
      </c>
      <c r="J18" s="33"/>
      <c r="K18" s="33">
        <f t="shared" si="2"/>
        <v>0</v>
      </c>
      <c r="L18" s="33">
        <f t="shared" si="3"/>
        <v>0</v>
      </c>
      <c r="M18" s="33">
        <f t="shared" si="4"/>
        <v>0</v>
      </c>
      <c r="N18" s="34"/>
    </row>
    <row r="19" spans="1:14" ht="18.75" customHeight="1">
      <c r="A19" s="30"/>
      <c r="B19" s="31"/>
      <c r="C19" s="32"/>
      <c r="D19" s="57"/>
      <c r="E19" s="59"/>
      <c r="F19" s="35"/>
      <c r="G19" s="33">
        <f t="shared" si="0"/>
        <v>0</v>
      </c>
      <c r="H19" s="35"/>
      <c r="I19" s="35">
        <f t="shared" si="1"/>
        <v>0</v>
      </c>
      <c r="J19" s="33"/>
      <c r="K19" s="33">
        <f t="shared" si="2"/>
        <v>0</v>
      </c>
      <c r="L19" s="33">
        <f t="shared" si="3"/>
        <v>0</v>
      </c>
      <c r="M19" s="33">
        <f t="shared" si="4"/>
        <v>0</v>
      </c>
      <c r="N19" s="34"/>
    </row>
    <row r="20" spans="1:14" ht="18.75" customHeight="1">
      <c r="A20" s="30"/>
      <c r="B20" s="31"/>
      <c r="C20" s="32"/>
      <c r="D20" s="57"/>
      <c r="E20" s="59"/>
      <c r="F20" s="35"/>
      <c r="G20" s="33">
        <f t="shared" si="0"/>
        <v>0</v>
      </c>
      <c r="H20" s="33"/>
      <c r="I20" s="33">
        <f t="shared" si="1"/>
        <v>0</v>
      </c>
      <c r="J20" s="59"/>
      <c r="K20" s="35">
        <f t="shared" si="2"/>
        <v>0</v>
      </c>
      <c r="L20" s="35">
        <f t="shared" si="3"/>
        <v>0</v>
      </c>
      <c r="M20" s="35">
        <f t="shared" si="4"/>
        <v>0</v>
      </c>
      <c r="N20" s="34"/>
    </row>
    <row r="21" spans="1:14" ht="18.75" customHeight="1">
      <c r="A21" s="30"/>
      <c r="B21" s="31"/>
      <c r="C21" s="32"/>
      <c r="D21" s="60"/>
      <c r="E21" s="60"/>
      <c r="F21" s="35"/>
      <c r="G21" s="33">
        <f t="shared" si="0"/>
        <v>0</v>
      </c>
      <c r="H21" s="33"/>
      <c r="I21" s="33">
        <f t="shared" si="1"/>
        <v>0</v>
      </c>
      <c r="J21" s="33"/>
      <c r="K21" s="33">
        <f t="shared" si="2"/>
        <v>0</v>
      </c>
      <c r="L21" s="33">
        <f t="shared" si="3"/>
        <v>0</v>
      </c>
      <c r="M21" s="33">
        <f t="shared" si="4"/>
        <v>0</v>
      </c>
      <c r="N21" s="34"/>
    </row>
    <row r="22" spans="1:14" ht="18.75" customHeight="1">
      <c r="A22" s="30"/>
      <c r="B22" s="31"/>
      <c r="C22" s="32"/>
      <c r="D22" s="60"/>
      <c r="E22" s="60"/>
      <c r="F22" s="35"/>
      <c r="G22" s="33">
        <f t="shared" si="0"/>
        <v>0</v>
      </c>
      <c r="H22" s="33"/>
      <c r="I22" s="33">
        <f t="shared" si="1"/>
        <v>0</v>
      </c>
      <c r="J22" s="33"/>
      <c r="K22" s="33">
        <f t="shared" si="2"/>
        <v>0</v>
      </c>
      <c r="L22" s="33">
        <f t="shared" si="3"/>
        <v>0</v>
      </c>
      <c r="M22" s="33">
        <f t="shared" si="4"/>
        <v>0</v>
      </c>
      <c r="N22" s="34"/>
    </row>
    <row r="23" spans="1:14" ht="18.75" customHeight="1">
      <c r="A23" s="30"/>
      <c r="B23" s="31"/>
      <c r="C23" s="32"/>
      <c r="D23" s="60"/>
      <c r="E23" s="60"/>
      <c r="F23" s="35"/>
      <c r="G23" s="33">
        <f t="shared" si="0"/>
        <v>0</v>
      </c>
      <c r="H23" s="33"/>
      <c r="I23" s="33">
        <f t="shared" si="1"/>
        <v>0</v>
      </c>
      <c r="J23" s="33"/>
      <c r="K23" s="33">
        <f t="shared" si="2"/>
        <v>0</v>
      </c>
      <c r="L23" s="33">
        <f t="shared" si="3"/>
        <v>0</v>
      </c>
      <c r="M23" s="33">
        <f t="shared" si="4"/>
        <v>0</v>
      </c>
      <c r="N23" s="34"/>
    </row>
    <row r="24" spans="1:14" ht="18.75" customHeight="1">
      <c r="A24" s="30"/>
      <c r="B24" s="31"/>
      <c r="C24" s="32"/>
      <c r="D24" s="60"/>
      <c r="E24" s="60"/>
      <c r="F24" s="35"/>
      <c r="G24" s="33">
        <f t="shared" si="0"/>
        <v>0</v>
      </c>
      <c r="H24" s="33"/>
      <c r="I24" s="33">
        <f t="shared" si="1"/>
        <v>0</v>
      </c>
      <c r="J24" s="33"/>
      <c r="K24" s="33">
        <f t="shared" si="2"/>
        <v>0</v>
      </c>
      <c r="L24" s="33">
        <f t="shared" si="3"/>
        <v>0</v>
      </c>
      <c r="M24" s="33">
        <f t="shared" si="4"/>
        <v>0</v>
      </c>
      <c r="N24" s="34"/>
    </row>
    <row r="25" spans="1:14" ht="18.75" customHeight="1">
      <c r="A25" s="30"/>
      <c r="B25" s="31"/>
      <c r="C25" s="32"/>
      <c r="D25" s="60"/>
      <c r="E25" s="60"/>
      <c r="F25" s="35"/>
      <c r="G25" s="33">
        <f t="shared" si="0"/>
        <v>0</v>
      </c>
      <c r="H25" s="33"/>
      <c r="I25" s="33">
        <f t="shared" si="1"/>
        <v>0</v>
      </c>
      <c r="J25" s="33"/>
      <c r="K25" s="33">
        <f t="shared" si="2"/>
        <v>0</v>
      </c>
      <c r="L25" s="33">
        <f t="shared" si="3"/>
        <v>0</v>
      </c>
      <c r="M25" s="33">
        <f t="shared" si="4"/>
        <v>0</v>
      </c>
      <c r="N25" s="34"/>
    </row>
    <row r="26" spans="1:14" ht="18.75" customHeight="1" thickBot="1">
      <c r="A26" s="37"/>
      <c r="B26" s="38"/>
      <c r="C26" s="39"/>
      <c r="D26" s="39"/>
      <c r="E26" s="39"/>
      <c r="F26" s="39"/>
      <c r="G26" s="39">
        <f>ROUND(SUM(G6:G25),0)</f>
        <v>0</v>
      </c>
      <c r="H26" s="39"/>
      <c r="I26" s="39">
        <f>SUM(I6:I25)</f>
        <v>0</v>
      </c>
      <c r="J26" s="39"/>
      <c r="K26" s="39">
        <f>SUM(K6:K25)</f>
        <v>0</v>
      </c>
      <c r="L26" s="39"/>
      <c r="M26" s="39">
        <f>SUM(M6:M25)</f>
        <v>0</v>
      </c>
      <c r="N26" s="40"/>
    </row>
    <row r="27" spans="1:14" ht="18.75" customHeight="1">
      <c r="A27" s="62" t="s">
        <v>13</v>
      </c>
      <c r="B27" s="41"/>
      <c r="C27" s="41"/>
      <c r="D27" s="41"/>
      <c r="E27" s="42"/>
      <c r="F27" s="42"/>
      <c r="G27" s="43"/>
      <c r="H27" s="43"/>
      <c r="I27" s="43"/>
      <c r="J27" s="42"/>
      <c r="K27" s="42"/>
      <c r="L27" s="42"/>
      <c r="M27" s="43"/>
      <c r="N27" s="44"/>
    </row>
    <row r="28" spans="1:14" ht="18.75" customHeight="1">
      <c r="A28" s="45"/>
      <c r="E28" s="46"/>
      <c r="F28" s="46"/>
      <c r="G28" s="47"/>
      <c r="H28" s="47"/>
      <c r="I28" s="47"/>
      <c r="J28" s="46"/>
      <c r="K28" s="46"/>
      <c r="L28" s="46"/>
      <c r="M28" s="47"/>
      <c r="N28" s="48"/>
    </row>
    <row r="29" spans="1:14" ht="18.75" customHeight="1" thickBot="1">
      <c r="A29" s="49"/>
      <c r="B29" s="50"/>
      <c r="C29" s="50"/>
      <c r="D29" s="50"/>
      <c r="E29" s="50"/>
      <c r="F29" s="50"/>
      <c r="G29" s="51"/>
      <c r="H29" s="50"/>
      <c r="I29" s="51"/>
      <c r="J29" s="50"/>
      <c r="K29" s="50"/>
      <c r="L29" s="50"/>
      <c r="M29" s="51"/>
      <c r="N29" s="52"/>
    </row>
    <row r="32" spans="1:14" ht="18.75" customHeight="1">
      <c r="G32" s="53"/>
    </row>
  </sheetData>
  <mergeCells count="15">
    <mergeCell ref="J4:K4"/>
    <mergeCell ref="L4:M4"/>
    <mergeCell ref="N4:N5"/>
    <mergeCell ref="A4:B5"/>
    <mergeCell ref="C4:C5"/>
    <mergeCell ref="D4:D5"/>
    <mergeCell ref="E4:E5"/>
    <mergeCell ref="F4:G4"/>
    <mergeCell ref="H4:I4"/>
    <mergeCell ref="K2:N2"/>
    <mergeCell ref="K3:N3"/>
    <mergeCell ref="A1:A3"/>
    <mergeCell ref="B1:B3"/>
    <mergeCell ref="C1:I3"/>
    <mergeCell ref="K1:N1"/>
  </mergeCells>
  <phoneticPr fontId="4" type="noConversion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일위대가</vt:lpstr>
      <vt:lpstr>일위대가!Print_Area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hyeong seo</dc:creator>
  <cp:lastModifiedBy>jae hyeong seo</cp:lastModifiedBy>
  <dcterms:created xsi:type="dcterms:W3CDTF">2026-08-21T04:48:46Z</dcterms:created>
  <dcterms:modified xsi:type="dcterms:W3CDTF">2026-08-21T04:51:25Z</dcterms:modified>
</cp:coreProperties>
</file>