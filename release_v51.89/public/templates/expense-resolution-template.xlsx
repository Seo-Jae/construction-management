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50909\지출결의서\지결\"/>
    </mc:Choice>
  </mc:AlternateContent>
  <xr:revisionPtr revIDLastSave="0" documentId="8_{716AFCD5-9AC1-4880-B89A-68EB638FA0EB}" xr6:coauthVersionLast="41" xr6:coauthVersionMax="41" xr10:uidLastSave="{00000000-0000-0000-0000-000000000000}"/>
  <bookViews>
    <workbookView xWindow="28680" yWindow="-120" windowWidth="29040" windowHeight="15840" xr2:uid="{181B9284-FB0A-4D08-B365-AF946C45FAA5}"/>
  </bookViews>
  <sheets>
    <sheet name="(06월)갑지" sheetId="1" r:id="rId1"/>
    <sheet name="(06월)상세내역" sheetId="2" r:id="rId2"/>
  </sheets>
  <externalReferences>
    <externalReference r:id="rId3"/>
  </externalReferences>
  <definedNames>
    <definedName name="_xlnm.Print_Area" localSheetId="0">'(06월)갑지'!$A$1:$J$54</definedName>
    <definedName name="_xlnm.Print_Area" localSheetId="1">'(06월)상세내역'!$B$1:$O$38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F4" i="2" s="1"/>
  <c r="H4" i="2" s="1"/>
  <c r="J4" i="2" s="1"/>
  <c r="L4" i="2" s="1"/>
  <c r="N4" i="2" s="1"/>
  <c r="B10" i="2" s="1"/>
  <c r="D10" i="2" s="1"/>
  <c r="F10" i="2" s="1"/>
  <c r="H10" i="2" s="1"/>
  <c r="J10" i="2" s="1"/>
  <c r="L10" i="2" s="1"/>
  <c r="N10" i="2" s="1"/>
  <c r="B16" i="2" s="1"/>
  <c r="D16" i="2" s="1"/>
  <c r="F16" i="2" s="1"/>
  <c r="H16" i="2" s="1"/>
  <c r="J16" i="2" s="1"/>
  <c r="L16" i="2" s="1"/>
  <c r="N16" i="2" s="1"/>
  <c r="B22" i="2" s="1"/>
  <c r="D22" i="2" s="1"/>
  <c r="F22" i="2" s="1"/>
  <c r="H22" i="2" s="1"/>
  <c r="J22" i="2" s="1"/>
  <c r="L22" i="2" s="1"/>
  <c r="N22" i="2" s="1"/>
  <c r="B28" i="2" s="1"/>
  <c r="D28" i="2" s="1"/>
  <c r="F28" i="2" s="1"/>
  <c r="J48" i="1"/>
  <c r="I48" i="1"/>
  <c r="H48" i="1"/>
  <c r="G48" i="1"/>
  <c r="F48" i="1"/>
  <c r="E48" i="1"/>
  <c r="C48" i="1"/>
  <c r="J49" i="1" s="1"/>
  <c r="A5" i="1" s="1"/>
  <c r="F36" i="1"/>
</calcChain>
</file>

<file path=xl/sharedStrings.xml><?xml version="1.0" encoding="utf-8"?>
<sst xmlns="http://schemas.openxmlformats.org/spreadsheetml/2006/main" count="205" uniqueCount="92">
  <si>
    <t>지 출 결 의 서</t>
    <phoneticPr fontId="5" type="noConversion"/>
  </si>
  <si>
    <t>날짜</t>
    <phoneticPr fontId="5" type="noConversion"/>
  </si>
  <si>
    <t>유류대</t>
    <phoneticPr fontId="5" type="noConversion"/>
  </si>
  <si>
    <t>통행료</t>
    <phoneticPr fontId="5" type="noConversion"/>
  </si>
  <si>
    <t>접대비(회식)</t>
    <phoneticPr fontId="5" type="noConversion"/>
  </si>
  <si>
    <t>숙박비</t>
    <phoneticPr fontId="5" type="noConversion"/>
  </si>
  <si>
    <t>잡자재</t>
    <phoneticPr fontId="5" type="noConversion"/>
  </si>
  <si>
    <t>우편/택배비</t>
    <phoneticPr fontId="3" type="noConversion"/>
  </si>
  <si>
    <t>기타</t>
    <phoneticPr fontId="5" type="noConversion"/>
  </si>
  <si>
    <t>서울→용인 59km</t>
    <phoneticPr fontId="3" type="noConversion"/>
  </si>
  <si>
    <t>용인 07:33</t>
    <phoneticPr fontId="3" type="noConversion"/>
  </si>
  <si>
    <t>용인→서울(잠실) 49km</t>
    <phoneticPr fontId="3" type="noConversion"/>
  </si>
  <si>
    <t>서울 22:32</t>
    <phoneticPr fontId="3" type="noConversion"/>
  </si>
  <si>
    <t>서울(잠실)→서울(자택) 30km</t>
    <phoneticPr fontId="3" type="noConversion"/>
  </si>
  <si>
    <t>서울제물포 23:22</t>
    <phoneticPr fontId="3" type="noConversion"/>
  </si>
  <si>
    <t>서울→용인 59km</t>
  </si>
  <si>
    <t>용인 07:23</t>
    <phoneticPr fontId="3" type="noConversion"/>
  </si>
  <si>
    <t>용인→서울 59km</t>
    <phoneticPr fontId="3" type="noConversion"/>
  </si>
  <si>
    <t>서서울 19:57</t>
    <phoneticPr fontId="3" type="noConversion"/>
  </si>
  <si>
    <t>용인 06:46</t>
    <phoneticPr fontId="3" type="noConversion"/>
  </si>
  <si>
    <t>용인→서울 59km</t>
  </si>
  <si>
    <t>서서울 18:09</t>
    <phoneticPr fontId="3" type="noConversion"/>
  </si>
  <si>
    <t>용인 06:51</t>
    <phoneticPr fontId="3" type="noConversion"/>
  </si>
  <si>
    <t>서서울 20:26</t>
    <phoneticPr fontId="3" type="noConversion"/>
  </si>
  <si>
    <t>하남→용인 42km</t>
    <phoneticPr fontId="3" type="noConversion"/>
  </si>
  <si>
    <t>북용인 07:47</t>
    <phoneticPr fontId="3" type="noConversion"/>
  </si>
  <si>
    <t>용인→하남 42km</t>
    <phoneticPr fontId="3" type="noConversion"/>
  </si>
  <si>
    <t>하남감북 13:49</t>
    <phoneticPr fontId="3" type="noConversion"/>
  </si>
  <si>
    <t>하남→용인 42km</t>
  </si>
  <si>
    <t>북용인 13:02</t>
    <phoneticPr fontId="3" type="noConversion"/>
  </si>
  <si>
    <t>북용인 09:40</t>
    <phoneticPr fontId="3" type="noConversion"/>
  </si>
  <si>
    <t>서서울 18:47</t>
    <phoneticPr fontId="3" type="noConversion"/>
  </si>
  <si>
    <t>용인 06:58</t>
    <phoneticPr fontId="3" type="noConversion"/>
  </si>
  <si>
    <t>서서울 21:33</t>
    <phoneticPr fontId="3" type="noConversion"/>
  </si>
  <si>
    <t>용인 06:34</t>
    <phoneticPr fontId="3" type="noConversion"/>
  </si>
  <si>
    <t>서서울 19:43</t>
    <phoneticPr fontId="3" type="noConversion"/>
  </si>
  <si>
    <t>용인 06:56</t>
    <phoneticPr fontId="3" type="noConversion"/>
  </si>
  <si>
    <t>서서울 19:38</t>
    <phoneticPr fontId="3" type="noConversion"/>
  </si>
  <si>
    <t>용인 06:43</t>
    <phoneticPr fontId="3" type="noConversion"/>
  </si>
  <si>
    <t>서서울 19:30</t>
    <phoneticPr fontId="3" type="noConversion"/>
  </si>
  <si>
    <t>용인 06:50</t>
    <phoneticPr fontId="3" type="noConversion"/>
  </si>
  <si>
    <t>서서울 20:08</t>
    <phoneticPr fontId="3" type="noConversion"/>
  </si>
  <si>
    <t>용인 07:01</t>
    <phoneticPr fontId="3" type="noConversion"/>
  </si>
  <si>
    <t>서서울 16:17</t>
    <phoneticPr fontId="3" type="noConversion"/>
  </si>
  <si>
    <t>용인 06:41</t>
    <phoneticPr fontId="3" type="noConversion"/>
  </si>
  <si>
    <t>용인→서울(잠실) 49km</t>
  </si>
  <si>
    <t>서울 23:49</t>
    <phoneticPr fontId="3" type="noConversion"/>
  </si>
  <si>
    <t>서울(잠실)→서울(자택) 30km</t>
  </si>
  <si>
    <t>용인 07:07</t>
    <phoneticPr fontId="3" type="noConversion"/>
  </si>
  <si>
    <t>서서울 19:16</t>
    <phoneticPr fontId="3" type="noConversion"/>
  </si>
  <si>
    <t>용인 07:04</t>
    <phoneticPr fontId="3" type="noConversion"/>
  </si>
  <si>
    <t>서서울 19:51</t>
    <phoneticPr fontId="3" type="noConversion"/>
  </si>
  <si>
    <t>용인 05:50</t>
    <phoneticPr fontId="3" type="noConversion"/>
  </si>
  <si>
    <t>서서울 20:21</t>
    <phoneticPr fontId="3" type="noConversion"/>
  </si>
  <si>
    <t>용인 06:10</t>
    <phoneticPr fontId="3" type="noConversion"/>
  </si>
  <si>
    <t>서서울 19:34</t>
    <phoneticPr fontId="3" type="noConversion"/>
  </si>
  <si>
    <t>용인 05:55</t>
    <phoneticPr fontId="3" type="noConversion"/>
  </si>
  <si>
    <t>서서울 18:38</t>
    <phoneticPr fontId="3" type="noConversion"/>
  </si>
  <si>
    <t>계</t>
    <phoneticPr fontId="5" type="noConversion"/>
  </si>
  <si>
    <t>합    계</t>
    <phoneticPr fontId="5" type="noConversion"/>
  </si>
  <si>
    <t>위 금액을 영수(청구)합니다.</t>
  </si>
  <si>
    <t>영 수 자   서 재 형</t>
  </si>
  <si>
    <t xml:space="preserve"> </t>
  </si>
  <si>
    <t>~ 2026.06 ~</t>
    <phoneticPr fontId="3" type="noConversion"/>
  </si>
  <si>
    <t>Sunday</t>
  </si>
  <si>
    <t>Monday</t>
  </si>
  <si>
    <t>Tuesday</t>
  </si>
  <si>
    <t>Wednesday</t>
  </si>
  <si>
    <t>Thursday</t>
  </si>
  <si>
    <t>Friday</t>
  </si>
  <si>
    <t>Saturday</t>
  </si>
  <si>
    <t>*작성방법</t>
    <phoneticPr fontId="3" type="noConversion"/>
  </si>
  <si>
    <t>용인출장(유류비)</t>
    <phoneticPr fontId="3" type="noConversion"/>
  </si>
  <si>
    <t>용인출장(유류비)</t>
  </si>
  <si>
    <t>1. 유류대 (어느 지역에서 주유했는지 지역과 금액 기재) - 갑지에 작성</t>
    <phoneticPr fontId="3" type="noConversion"/>
  </si>
  <si>
    <t>서울(잠실/실장님)복귀(유류비)</t>
    <phoneticPr fontId="3" type="noConversion"/>
  </si>
  <si>
    <t>서울복귀(유류비)</t>
    <phoneticPr fontId="3" type="noConversion"/>
  </si>
  <si>
    <t>서울복귀(유류비)</t>
  </si>
  <si>
    <t>2. 통행료 (영업소 및 시간 기재) - 갑지에 작성</t>
    <phoneticPr fontId="3" type="noConversion"/>
  </si>
  <si>
    <t>서울(자택)복귀(유류비)</t>
    <phoneticPr fontId="3" type="noConversion"/>
  </si>
  <si>
    <t>3. 접대비 및 식대(참석자 기재) - 상세내역에 작성</t>
    <phoneticPr fontId="3" type="noConversion"/>
  </si>
  <si>
    <t>4. 자재,문구,기타 구입 물품 내용  - 상세내역에 작성</t>
    <phoneticPr fontId="3" type="noConversion"/>
  </si>
  <si>
    <t>5. 관련된 모든 사용내역은 영수증 첨부할것</t>
    <phoneticPr fontId="3" type="noConversion"/>
  </si>
  <si>
    <t>점심접대(공사팀장(황병철팀장)</t>
    <phoneticPr fontId="3" type="noConversion"/>
  </si>
  <si>
    <t>6. 경비사용내역을 적지 않으면 일일히 전화해서 다시 확인을 해야 하니</t>
    <phoneticPr fontId="3" type="noConversion"/>
  </si>
  <si>
    <t>서재형과장, 김일홍소장</t>
    <phoneticPr fontId="3" type="noConversion"/>
  </si>
  <si>
    <t>상세내역에 꼭 작성하기 바람</t>
    <phoneticPr fontId="3" type="noConversion"/>
  </si>
  <si>
    <t>황병철팀장</t>
    <phoneticPr fontId="3" type="noConversion"/>
  </si>
  <si>
    <t>잡자재구매</t>
    <phoneticPr fontId="3" type="noConversion"/>
  </si>
  <si>
    <t>서울(잠실/실장님)복귀(유류비)</t>
  </si>
  <si>
    <t>서울(자택)복귀(유류비)</t>
  </si>
  <si>
    <t>공무팀장(대리비)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</si>
</sst>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###\-##\-##"/>
    <numFmt numFmtId="177" formatCode="yyyy/mm/dd\ aaa"/>
    <numFmt numFmtId="178" formatCode="#,##0_);[Red]\(#,##0\)"/>
    <numFmt numFmtId="179" formatCode="#,##0_ "/>
    <numFmt numFmtId="180" formatCode="dddd"/>
    <numFmt numFmtId="181" formatCode="d"/>
  </numFmts>
  <fonts count="2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  <font>
      <u/>
      <sz val="10"/>
      <color indexed="12"/>
      <name val="Arial"/>
      <family val="2"/>
    </font>
    <font>
      <sz val="8"/>
      <color rgb="FFCDCDCD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indexed="18"/>
      <name val="돋움"/>
      <family val="3"/>
      <charset val="129"/>
    </font>
    <font>
      <sz val="9"/>
      <color indexed="16"/>
      <name val="돋움"/>
      <family val="3"/>
      <charset val="129"/>
    </font>
    <font>
      <sz val="8"/>
      <color theme="1"/>
      <name val="Arial Narrow"/>
      <family val="2"/>
    </font>
    <font>
      <sz val="8"/>
      <color theme="1"/>
      <name val="돋움"/>
      <family val="3"/>
      <charset val="129"/>
    </font>
    <font>
      <sz val="7"/>
      <color theme="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31"/>
      </left>
      <right/>
      <top style="medium">
        <color indexed="31"/>
      </top>
      <bottom style="thin">
        <color rgb="FFFFFFFF"/>
      </bottom>
      <diagonal/>
    </border>
    <border>
      <left/>
      <right/>
      <top style="medium">
        <color indexed="31"/>
      </top>
      <bottom style="thin">
        <color rgb="FFFFFFFF"/>
      </bottom>
      <diagonal/>
    </border>
    <border>
      <left/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 style="thin">
        <color rgb="FFFFFFFF"/>
      </bottom>
      <diagonal/>
    </border>
    <border>
      <left style="medium">
        <color indexed="3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indexed="31"/>
      </right>
      <top style="thin">
        <color rgb="FFFFFFFF"/>
      </top>
      <bottom/>
      <diagonal/>
    </border>
    <border>
      <left style="medium">
        <color indexed="31"/>
      </left>
      <right/>
      <top style="thin">
        <color indexed="31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medium">
        <color indexed="31"/>
      </right>
      <top style="thin">
        <color indexed="31"/>
      </top>
      <bottom/>
      <diagonal/>
    </border>
    <border>
      <left style="medium">
        <color indexed="31"/>
      </left>
      <right/>
      <top/>
      <bottom/>
      <diagonal/>
    </border>
    <border>
      <left style="thin">
        <color indexed="31"/>
      </left>
      <right/>
      <top/>
      <bottom/>
      <diagonal/>
    </border>
    <border>
      <left/>
      <right style="medium">
        <color indexed="31"/>
      </right>
      <top/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/>
      <bottom style="medium">
        <color indexed="31"/>
      </bottom>
      <diagonal/>
    </border>
    <border>
      <left/>
      <right/>
      <top/>
      <bottom style="medium">
        <color indexed="31"/>
      </bottom>
      <diagonal/>
    </border>
    <border>
      <left/>
      <right style="medium">
        <color indexed="31"/>
      </right>
      <top/>
      <bottom style="medium">
        <color indexed="31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/>
    <xf numFmtId="49" fontId="19" fillId="0" borderId="0" applyFill="0" applyBorder="0" applyProtection="0">
      <alignment horizontal="left" vertical="top" wrapText="1"/>
    </xf>
  </cellStyleXfs>
  <cellXfs count="88">
    <xf numFmtId="0" fontId="0" fillId="0" borderId="0" xfId="0"/>
    <xf numFmtId="176" fontId="2" fillId="0" borderId="0" xfId="0" applyNumberFormat="1" applyFont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76" fontId="7" fillId="0" borderId="1" xfId="0" applyNumberFormat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41" fontId="8" fillId="0" borderId="6" xfId="1" applyFont="1" applyBorder="1" applyAlignment="1">
      <alignment vertical="center" shrinkToFit="1"/>
    </xf>
    <xf numFmtId="41" fontId="8" fillId="0" borderId="6" xfId="1" applyFont="1" applyBorder="1">
      <alignment vertical="center"/>
    </xf>
    <xf numFmtId="20" fontId="8" fillId="0" borderId="6" xfId="1" applyNumberFormat="1" applyFont="1" applyBorder="1" applyAlignment="1">
      <alignment vertical="center" shrinkToFit="1"/>
    </xf>
    <xf numFmtId="41" fontId="8" fillId="2" borderId="6" xfId="1" applyFont="1" applyFill="1" applyBorder="1">
      <alignment vertical="center"/>
    </xf>
    <xf numFmtId="178" fontId="8" fillId="0" borderId="7" xfId="0" applyNumberFormat="1" applyFont="1" applyBorder="1" applyAlignment="1">
      <alignment vertical="center"/>
    </xf>
    <xf numFmtId="178" fontId="8" fillId="0" borderId="7" xfId="0" applyNumberFormat="1" applyFont="1" applyBorder="1" applyAlignment="1">
      <alignment horizontal="center" vertical="center"/>
    </xf>
    <xf numFmtId="178" fontId="9" fillId="0" borderId="7" xfId="0" applyNumberFormat="1" applyFont="1" applyBorder="1" applyAlignment="1">
      <alignment vertical="center"/>
    </xf>
    <xf numFmtId="178" fontId="8" fillId="0" borderId="7" xfId="0" applyNumberFormat="1" applyFont="1" applyBorder="1" applyAlignment="1">
      <alignment vertical="center" shrinkToFit="1"/>
    </xf>
    <xf numFmtId="177" fontId="8" fillId="0" borderId="8" xfId="0" applyNumberFormat="1" applyFont="1" applyBorder="1" applyAlignment="1">
      <alignment horizontal="center" vertical="center"/>
    </xf>
    <xf numFmtId="41" fontId="8" fillId="0" borderId="9" xfId="1" applyFont="1" applyBorder="1">
      <alignment vertical="center"/>
    </xf>
    <xf numFmtId="178" fontId="8" fillId="0" borderId="10" xfId="0" applyNumberFormat="1" applyFont="1" applyBorder="1" applyAlignment="1">
      <alignment vertical="center"/>
    </xf>
    <xf numFmtId="176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right" vertical="center"/>
    </xf>
    <xf numFmtId="41" fontId="7" fillId="0" borderId="12" xfId="0" applyNumberFormat="1" applyFont="1" applyBorder="1" applyAlignment="1">
      <alignment horizontal="right" vertical="center" shrinkToFit="1"/>
    </xf>
    <xf numFmtId="41" fontId="7" fillId="0" borderId="13" xfId="0" applyNumberFormat="1" applyFont="1" applyBorder="1" applyAlignment="1">
      <alignment horizontal="right" vertical="center" shrinkToFit="1"/>
    </xf>
    <xf numFmtId="176" fontId="7" fillId="0" borderId="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 shrinkToFit="1"/>
    </xf>
    <xf numFmtId="0" fontId="7" fillId="0" borderId="16" xfId="0" applyFont="1" applyBorder="1" applyAlignment="1">
      <alignment horizontal="right" vertical="center" shrinkToFit="1"/>
    </xf>
    <xf numFmtId="41" fontId="7" fillId="0" borderId="17" xfId="0" applyNumberFormat="1" applyFont="1" applyBorder="1" applyAlignment="1">
      <alignment horizontal="right" vertical="center" shrinkToFit="1"/>
    </xf>
    <xf numFmtId="179" fontId="10" fillId="0" borderId="0" xfId="0" applyNumberFormat="1" applyFont="1" applyAlignment="1">
      <alignment horizontal="center" vertical="center"/>
    </xf>
    <xf numFmtId="3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3" fillId="3" borderId="18" xfId="2" applyNumberFormat="1" applyFont="1" applyFill="1" applyBorder="1" applyAlignment="1" applyProtection="1">
      <alignment horizontal="left"/>
    </xf>
    <xf numFmtId="0" fontId="12" fillId="0" borderId="19" xfId="2" applyBorder="1" applyAlignment="1" applyProtection="1">
      <alignment horizontal="left"/>
    </xf>
    <xf numFmtId="49" fontId="15" fillId="3" borderId="20" xfId="3" applyNumberFormat="1" applyFont="1" applyFill="1" applyBorder="1" applyAlignment="1">
      <alignment horizontal="centerContinuous" vertical="center"/>
    </xf>
    <xf numFmtId="49" fontId="15" fillId="3" borderId="20" xfId="3" applyNumberFormat="1" applyFont="1" applyFill="1" applyBorder="1" applyAlignment="1">
      <alignment horizontal="left" vertical="center"/>
    </xf>
    <xf numFmtId="49" fontId="15" fillId="3" borderId="19" xfId="3" applyNumberFormat="1" applyFont="1" applyFill="1" applyBorder="1" applyAlignment="1">
      <alignment horizontal="center" vertical="center"/>
    </xf>
    <xf numFmtId="49" fontId="13" fillId="3" borderId="19" xfId="2" applyNumberFormat="1" applyFont="1" applyFill="1" applyBorder="1" applyAlignment="1" applyProtection="1">
      <alignment horizontal="right"/>
    </xf>
    <xf numFmtId="0" fontId="12" fillId="0" borderId="21" xfId="2" applyBorder="1" applyAlignment="1" applyProtection="1">
      <alignment horizontal="right"/>
    </xf>
    <xf numFmtId="180" fontId="16" fillId="3" borderId="22" xfId="3" applyNumberFormat="1" applyFont="1" applyFill="1" applyBorder="1" applyAlignment="1">
      <alignment horizontal="center" shrinkToFit="1"/>
    </xf>
    <xf numFmtId="180" fontId="16" fillId="3" borderId="23" xfId="3" applyNumberFormat="1" applyFont="1" applyFill="1" applyBorder="1" applyAlignment="1">
      <alignment horizontal="center" shrinkToFit="1"/>
    </xf>
    <xf numFmtId="180" fontId="16" fillId="3" borderId="24" xfId="3" applyNumberFormat="1" applyFont="1" applyFill="1" applyBorder="1" applyAlignment="1">
      <alignment horizontal="center" shrinkToFit="1"/>
    </xf>
    <xf numFmtId="181" fontId="17" fillId="4" borderId="25" xfId="3" applyNumberFormat="1" applyFont="1" applyFill="1" applyBorder="1" applyAlignment="1">
      <alignment horizontal="center" shrinkToFit="1"/>
    </xf>
    <xf numFmtId="49" fontId="18" fillId="4" borderId="26" xfId="3" applyNumberFormat="1" applyFont="1" applyFill="1" applyBorder="1" applyAlignment="1">
      <alignment horizontal="left"/>
    </xf>
    <xf numFmtId="181" fontId="17" fillId="5" borderId="27" xfId="3" applyNumberFormat="1" applyFont="1" applyFill="1" applyBorder="1" applyAlignment="1">
      <alignment horizontal="center" shrinkToFit="1"/>
    </xf>
    <xf numFmtId="49" fontId="18" fillId="0" borderId="26" xfId="3" applyNumberFormat="1" applyFont="1" applyBorder="1" applyAlignment="1">
      <alignment horizontal="left"/>
    </xf>
    <xf numFmtId="49" fontId="18" fillId="5" borderId="26" xfId="3" applyNumberFormat="1" applyFont="1" applyFill="1" applyBorder="1" applyAlignment="1">
      <alignment horizontal="left"/>
    </xf>
    <xf numFmtId="181" fontId="17" fillId="6" borderId="27" xfId="3" applyNumberFormat="1" applyFont="1" applyFill="1" applyBorder="1" applyAlignment="1">
      <alignment horizontal="center" shrinkToFit="1"/>
    </xf>
    <xf numFmtId="49" fontId="18" fillId="6" borderId="28" xfId="3" applyNumberFormat="1" applyFont="1" applyFill="1" applyBorder="1" applyAlignment="1">
      <alignment horizontal="left"/>
    </xf>
    <xf numFmtId="49" fontId="20" fillId="4" borderId="29" xfId="4" applyFont="1" applyFill="1" applyBorder="1">
      <alignment horizontal="left" vertical="top" wrapText="1"/>
    </xf>
    <xf numFmtId="49" fontId="20" fillId="4" borderId="0" xfId="4" applyFont="1" applyFill="1">
      <alignment horizontal="left" vertical="top" wrapText="1"/>
    </xf>
    <xf numFmtId="49" fontId="20" fillId="0" borderId="30" xfId="4" applyFont="1" applyBorder="1">
      <alignment horizontal="left" vertical="top" wrapText="1"/>
    </xf>
    <xf numFmtId="49" fontId="20" fillId="0" borderId="0" xfId="4" applyFont="1">
      <alignment horizontal="left" vertical="top" wrapText="1"/>
    </xf>
    <xf numFmtId="49" fontId="20" fillId="5" borderId="30" xfId="4" applyFont="1" applyFill="1" applyBorder="1">
      <alignment horizontal="left" vertical="top" wrapText="1"/>
    </xf>
    <xf numFmtId="49" fontId="20" fillId="5" borderId="0" xfId="4" applyFont="1" applyFill="1">
      <alignment horizontal="left" vertical="top" wrapText="1"/>
    </xf>
    <xf numFmtId="49" fontId="20" fillId="6" borderId="30" xfId="4" applyFont="1" applyFill="1" applyBorder="1">
      <alignment horizontal="left" vertical="top" wrapText="1"/>
    </xf>
    <xf numFmtId="49" fontId="20" fillId="6" borderId="31" xfId="4" applyFont="1" applyFill="1" applyBorder="1">
      <alignment horizontal="left" vertical="top" wrapText="1"/>
    </xf>
    <xf numFmtId="0" fontId="0" fillId="0" borderId="0" xfId="0" applyAlignment="1">
      <alignment horizontal="left" vertical="center"/>
    </xf>
    <xf numFmtId="49" fontId="20" fillId="0" borderId="30" xfId="4" applyFont="1" applyBorder="1" applyAlignment="1">
      <alignment horizontal="left" vertical="top" shrinkToFit="1"/>
    </xf>
    <xf numFmtId="49" fontId="20" fillId="0" borderId="0" xfId="4" applyFont="1" applyAlignment="1">
      <alignment horizontal="left" vertical="top" shrinkToFit="1"/>
    </xf>
    <xf numFmtId="181" fontId="17" fillId="6" borderId="25" xfId="3" applyNumberFormat="1" applyFont="1" applyFill="1" applyBorder="1" applyAlignment="1">
      <alignment horizontal="center" shrinkToFit="1"/>
    </xf>
    <xf numFmtId="49" fontId="18" fillId="6" borderId="26" xfId="3" applyNumberFormat="1" applyFont="1" applyFill="1" applyBorder="1" applyAlignment="1">
      <alignment horizontal="left"/>
    </xf>
    <xf numFmtId="49" fontId="20" fillId="6" borderId="29" xfId="4" applyFont="1" applyFill="1" applyBorder="1">
      <alignment horizontal="left" vertical="top" wrapText="1"/>
    </xf>
    <xf numFmtId="49" fontId="20" fillId="6" borderId="0" xfId="4" applyFont="1" applyFill="1">
      <alignment horizontal="left" vertical="top" wrapText="1"/>
    </xf>
    <xf numFmtId="49" fontId="20" fillId="5" borderId="30" xfId="4" applyFont="1" applyFill="1" applyBorder="1" applyAlignment="1">
      <alignment horizontal="left" vertical="top" shrinkToFit="1"/>
    </xf>
    <xf numFmtId="49" fontId="20" fillId="5" borderId="0" xfId="4" applyFont="1" applyFill="1" applyAlignment="1">
      <alignment horizontal="left" vertical="top" shrinkToFit="1"/>
    </xf>
    <xf numFmtId="49" fontId="20" fillId="5" borderId="32" xfId="4" applyFont="1" applyFill="1" applyBorder="1">
      <alignment horizontal="left" vertical="top" wrapText="1"/>
    </xf>
    <xf numFmtId="49" fontId="21" fillId="5" borderId="30" xfId="4" applyFont="1" applyFill="1" applyBorder="1">
      <alignment horizontal="left" vertical="top" wrapText="1"/>
    </xf>
    <xf numFmtId="49" fontId="21" fillId="5" borderId="32" xfId="4" applyFont="1" applyFill="1" applyBorder="1">
      <alignment horizontal="left" vertical="top" wrapText="1"/>
    </xf>
    <xf numFmtId="49" fontId="21" fillId="5" borderId="33" xfId="4" applyFont="1" applyFill="1" applyBorder="1">
      <alignment horizontal="left" vertical="top" wrapText="1"/>
    </xf>
    <xf numFmtId="49" fontId="21" fillId="5" borderId="34" xfId="4" applyFont="1" applyFill="1" applyBorder="1">
      <alignment horizontal="left" vertical="top" wrapText="1"/>
    </xf>
    <xf numFmtId="0" fontId="0" fillId="0" borderId="0" xfId="0" applyAlignment="1">
      <alignment horizontal="left"/>
    </xf>
    <xf numFmtId="181" fontId="17" fillId="4" borderId="27" xfId="3" applyNumberFormat="1" applyFont="1" applyFill="1" applyBorder="1" applyAlignment="1">
      <alignment horizontal="center" shrinkToFit="1"/>
    </xf>
    <xf numFmtId="49" fontId="18" fillId="4" borderId="28" xfId="3" applyNumberFormat="1" applyFont="1" applyFill="1" applyBorder="1" applyAlignment="1">
      <alignment horizontal="left"/>
    </xf>
    <xf numFmtId="49" fontId="20" fillId="4" borderId="30" xfId="4" applyFont="1" applyFill="1" applyBorder="1">
      <alignment horizontal="left" vertical="top" wrapText="1"/>
    </xf>
    <xf numFmtId="49" fontId="20" fillId="4" borderId="31" xfId="4" applyFont="1" applyFill="1" applyBorder="1">
      <alignment horizontal="left" vertical="top" wrapText="1"/>
    </xf>
    <xf numFmtId="49" fontId="20" fillId="4" borderId="32" xfId="4" applyFont="1" applyFill="1" applyBorder="1">
      <alignment horizontal="left" vertical="top" wrapText="1"/>
    </xf>
    <xf numFmtId="49" fontId="20" fillId="4" borderId="33" xfId="4" applyFont="1" applyFill="1" applyBorder="1">
      <alignment horizontal="left" vertical="top" wrapText="1"/>
    </xf>
    <xf numFmtId="49" fontId="20" fillId="4" borderId="34" xfId="4" applyFont="1" applyFill="1" applyBorder="1">
      <alignment horizontal="left" vertical="top" wrapText="1"/>
    </xf>
    <xf numFmtId="49" fontId="20" fillId="4" borderId="30" xfId="4" applyFont="1" applyFill="1" applyBorder="1" applyAlignment="1">
      <alignment horizontal="left" vertical="top" shrinkToFit="1"/>
    </xf>
    <xf numFmtId="49" fontId="20" fillId="4" borderId="0" xfId="4" applyFont="1" applyFill="1" applyAlignment="1">
      <alignment horizontal="left" vertical="top" shrinkToFit="1"/>
    </xf>
    <xf numFmtId="49" fontId="20" fillId="4" borderId="35" xfId="4" applyFont="1" applyFill="1" applyBorder="1">
      <alignment horizontal="left" vertical="top" wrapText="1"/>
    </xf>
    <xf numFmtId="49" fontId="20" fillId="4" borderId="36" xfId="4" applyFont="1" applyFill="1" applyBorder="1">
      <alignment horizontal="left" vertical="top" wrapText="1"/>
    </xf>
    <xf numFmtId="49" fontId="20" fillId="4" borderId="37" xfId="4" applyFont="1" applyFill="1" applyBorder="1">
      <alignment horizontal="left" vertical="top" wrapText="1"/>
    </xf>
    <xf numFmtId="0" fontId="22" fillId="0" borderId="0" xfId="0" applyFont="1" applyAlignment="1">
      <alignment horizontal="center"/>
    </xf>
  </cellXfs>
  <cellStyles count="5">
    <cellStyle name="Normal 2" xfId="3" xr:uid="{028C2C31-655C-4280-8EE5-C6F05E657765}"/>
    <cellStyle name="WinCalendar_BlankDates_5" xfId="4" xr:uid="{68904F50-60F0-4A36-BEE4-30AD25F105C9}"/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554693</xdr:colOff>
          <xdr:row>0</xdr:row>
          <xdr:rowOff>148852</xdr:rowOff>
        </xdr:from>
        <xdr:to>
          <xdr:col>9</xdr:col>
          <xdr:colOff>876301</xdr:colOff>
          <xdr:row>1</xdr:row>
          <xdr:rowOff>531436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8D7D563D-F1A1-419D-B455-2B772DA0C4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2!$B$1:$H$2" spid="_x0000_s10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050368" y="148852"/>
              <a:ext cx="5712758" cy="114458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839B-973C-45A2-803C-25F13C848DAD}">
  <sheetPr>
    <tabColor rgb="FFFF0000"/>
    <pageSetUpPr fitToPage="1"/>
  </sheetPr>
  <dimension ref="A1:J56"/>
  <sheetViews>
    <sheetView showGridLines="0" tabSelected="1" view="pageBreakPreview" topLeftCell="A16" zoomScale="85" zoomScaleNormal="100" zoomScaleSheetLayoutView="85" workbookViewId="0">
      <selection activeCell="H34" sqref="H34"/>
    </sheetView>
  </sheetViews>
  <sheetFormatPr defaultRowHeight="16.5" x14ac:dyDescent="0.3"/>
  <cols>
    <col min="1" max="1" width="15.625" customWidth="1"/>
    <col min="2" max="2" width="19.625" customWidth="1"/>
    <col min="3" max="3" width="10.625" customWidth="1"/>
    <col min="4" max="4" width="12.625" customWidth="1"/>
    <col min="5" max="5" width="10.625" customWidth="1"/>
    <col min="6" max="6" width="12.625" customWidth="1"/>
    <col min="7" max="10" width="11.625" customWidth="1"/>
  </cols>
  <sheetData>
    <row r="1" spans="1:10" ht="60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ht="60" customHeight="1" x14ac:dyDescent="0.3">
      <c r="A2" s="1"/>
      <c r="B2" s="2"/>
      <c r="C2" s="2"/>
      <c r="D2" s="2"/>
      <c r="E2" s="2"/>
      <c r="F2" s="2"/>
      <c r="G2" s="2"/>
      <c r="H2" s="2"/>
      <c r="I2" s="2"/>
      <c r="J2" s="3"/>
    </row>
    <row r="3" spans="1:10" ht="60" customHeight="1" x14ac:dyDescent="0.3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pans="1:10" ht="20.100000000000001" customHeight="1" x14ac:dyDescent="0.3">
      <c r="A4" s="1"/>
      <c r="B4" s="2"/>
      <c r="C4" s="2"/>
      <c r="D4" s="2"/>
      <c r="E4" s="2"/>
      <c r="F4" s="2"/>
      <c r="G4" s="2"/>
      <c r="H4" s="2"/>
      <c r="I4" s="2"/>
      <c r="J4" s="3"/>
    </row>
    <row r="5" spans="1:10" ht="20.100000000000001" customHeight="1" x14ac:dyDescent="0.3">
      <c r="A5" s="5" t="str">
        <f>"一      金: "&amp;NUMBERSTRING(J49,1)&amp;" 원整.(\"&amp;TEXT(J49,"###,##0") &amp;" )"</f>
        <v>一      金: 칠십구만이천일백 원整.(\792,100 )</v>
      </c>
      <c r="B5" s="5"/>
      <c r="C5" s="5"/>
      <c r="D5" s="5"/>
      <c r="E5" s="5"/>
      <c r="F5" s="5"/>
      <c r="G5" s="5"/>
      <c r="H5" s="5"/>
      <c r="I5" s="5"/>
      <c r="J5" s="5"/>
    </row>
    <row r="6" spans="1:10" ht="20.100000000000001" customHeight="1" thickBot="1" x14ac:dyDescent="0.35">
      <c r="A6" s="1"/>
      <c r="B6" s="2"/>
      <c r="C6" s="2"/>
      <c r="D6" s="2"/>
      <c r="E6" s="2"/>
      <c r="F6" s="2"/>
      <c r="G6" s="2"/>
      <c r="H6" s="2"/>
      <c r="I6" s="2"/>
      <c r="J6" s="3"/>
    </row>
    <row r="7" spans="1:10" ht="20.100000000000001" customHeight="1" x14ac:dyDescent="0.3">
      <c r="A7" s="6" t="s">
        <v>1</v>
      </c>
      <c r="B7" s="7" t="s">
        <v>2</v>
      </c>
      <c r="C7" s="7"/>
      <c r="D7" s="7" t="s">
        <v>3</v>
      </c>
      <c r="E7" s="7"/>
      <c r="F7" s="8" t="s">
        <v>4</v>
      </c>
      <c r="G7" s="8" t="s">
        <v>5</v>
      </c>
      <c r="H7" s="8" t="s">
        <v>6</v>
      </c>
      <c r="I7" s="9" t="s">
        <v>7</v>
      </c>
      <c r="J7" s="10" t="s">
        <v>8</v>
      </c>
    </row>
    <row r="8" spans="1:10" ht="20.100000000000001" customHeight="1" x14ac:dyDescent="0.3">
      <c r="A8" s="11">
        <v>46174</v>
      </c>
      <c r="B8" s="12" t="s">
        <v>9</v>
      </c>
      <c r="C8" s="13">
        <v>9000</v>
      </c>
      <c r="D8" s="14" t="s">
        <v>10</v>
      </c>
      <c r="E8" s="13">
        <v>2900</v>
      </c>
      <c r="F8" s="15"/>
      <c r="G8" s="15"/>
      <c r="H8" s="15"/>
      <c r="I8" s="15"/>
      <c r="J8" s="16"/>
    </row>
    <row r="9" spans="1:10" ht="20.100000000000001" customHeight="1" x14ac:dyDescent="0.3">
      <c r="A9" s="11">
        <v>46174</v>
      </c>
      <c r="B9" s="12" t="s">
        <v>11</v>
      </c>
      <c r="C9" s="13">
        <v>8300</v>
      </c>
      <c r="D9" s="14" t="s">
        <v>12</v>
      </c>
      <c r="E9" s="13">
        <v>2200</v>
      </c>
      <c r="F9" s="15">
        <v>104000</v>
      </c>
      <c r="G9" s="15"/>
      <c r="H9" s="15"/>
      <c r="I9" s="15"/>
      <c r="J9" s="16"/>
    </row>
    <row r="10" spans="1:10" ht="20.100000000000001" customHeight="1" x14ac:dyDescent="0.3">
      <c r="A10" s="11">
        <v>46174</v>
      </c>
      <c r="B10" s="12" t="s">
        <v>13</v>
      </c>
      <c r="C10" s="13">
        <v>5000</v>
      </c>
      <c r="D10" s="14" t="s">
        <v>14</v>
      </c>
      <c r="E10" s="13">
        <v>2700</v>
      </c>
      <c r="F10" s="15"/>
      <c r="G10" s="15"/>
      <c r="H10" s="15"/>
      <c r="I10" s="15"/>
      <c r="J10" s="16"/>
    </row>
    <row r="11" spans="1:10" ht="20.100000000000001" customHeight="1" x14ac:dyDescent="0.3">
      <c r="A11" s="11">
        <v>46175</v>
      </c>
      <c r="B11" s="12" t="s">
        <v>15</v>
      </c>
      <c r="C11" s="13">
        <v>9000</v>
      </c>
      <c r="D11" s="14" t="s">
        <v>16</v>
      </c>
      <c r="E11" s="13">
        <v>2900</v>
      </c>
      <c r="F11" s="15"/>
      <c r="G11" s="15"/>
      <c r="H11" s="15"/>
      <c r="I11" s="15"/>
      <c r="J11" s="16"/>
    </row>
    <row r="12" spans="1:10" ht="18.95" customHeight="1" x14ac:dyDescent="0.3">
      <c r="A12" s="11">
        <v>46175</v>
      </c>
      <c r="B12" s="12" t="s">
        <v>17</v>
      </c>
      <c r="C12" s="13">
        <v>9000</v>
      </c>
      <c r="D12" s="14" t="s">
        <v>18</v>
      </c>
      <c r="E12" s="13">
        <v>2900</v>
      </c>
      <c r="F12" s="15"/>
      <c r="G12" s="15"/>
      <c r="H12" s="15"/>
      <c r="I12" s="15"/>
      <c r="J12" s="16"/>
    </row>
    <row r="13" spans="1:10" ht="18.95" customHeight="1" x14ac:dyDescent="0.3">
      <c r="A13" s="11">
        <v>46177</v>
      </c>
      <c r="B13" s="12" t="s">
        <v>15</v>
      </c>
      <c r="C13" s="13">
        <v>9000</v>
      </c>
      <c r="D13" s="14" t="s">
        <v>19</v>
      </c>
      <c r="E13" s="13">
        <v>2900</v>
      </c>
      <c r="F13" s="15"/>
      <c r="G13" s="15"/>
      <c r="H13" s="15"/>
      <c r="I13" s="15"/>
      <c r="J13" s="16"/>
    </row>
    <row r="14" spans="1:10" ht="18.95" customHeight="1" x14ac:dyDescent="0.3">
      <c r="A14" s="11">
        <v>46177</v>
      </c>
      <c r="B14" s="12" t="s">
        <v>20</v>
      </c>
      <c r="C14" s="13">
        <v>9000</v>
      </c>
      <c r="D14" s="14" t="s">
        <v>21</v>
      </c>
      <c r="E14" s="13">
        <v>2900</v>
      </c>
      <c r="F14" s="15"/>
      <c r="G14" s="15"/>
      <c r="H14" s="15"/>
      <c r="I14" s="15"/>
      <c r="J14" s="17"/>
    </row>
    <row r="15" spans="1:10" ht="18.95" customHeight="1" x14ac:dyDescent="0.3">
      <c r="A15" s="11">
        <v>46178</v>
      </c>
      <c r="B15" s="12" t="s">
        <v>15</v>
      </c>
      <c r="C15" s="13">
        <v>9000</v>
      </c>
      <c r="D15" s="14" t="s">
        <v>22</v>
      </c>
      <c r="E15" s="13">
        <v>2900</v>
      </c>
      <c r="F15" s="15"/>
      <c r="G15" s="15"/>
      <c r="H15" s="15"/>
      <c r="I15" s="15"/>
      <c r="J15" s="16"/>
    </row>
    <row r="16" spans="1:10" ht="18.95" customHeight="1" x14ac:dyDescent="0.3">
      <c r="A16" s="11">
        <v>46178</v>
      </c>
      <c r="B16" s="12" t="s">
        <v>20</v>
      </c>
      <c r="C16" s="13">
        <v>9000</v>
      </c>
      <c r="D16" s="14" t="s">
        <v>23</v>
      </c>
      <c r="E16" s="13">
        <v>2900</v>
      </c>
      <c r="F16" s="15"/>
      <c r="G16" s="15"/>
      <c r="H16" s="15"/>
      <c r="I16" s="15"/>
      <c r="J16" s="18"/>
    </row>
    <row r="17" spans="1:10" ht="18.95" customHeight="1" x14ac:dyDescent="0.3">
      <c r="A17" s="11">
        <v>46181</v>
      </c>
      <c r="B17" s="12" t="s">
        <v>24</v>
      </c>
      <c r="C17" s="13">
        <v>7000</v>
      </c>
      <c r="D17" s="14" t="s">
        <v>25</v>
      </c>
      <c r="E17" s="13">
        <v>2400</v>
      </c>
      <c r="F17" s="15"/>
      <c r="G17" s="15"/>
      <c r="H17" s="15"/>
      <c r="I17" s="15"/>
      <c r="J17" s="16"/>
    </row>
    <row r="18" spans="1:10" ht="18.95" customHeight="1" x14ac:dyDescent="0.3">
      <c r="A18" s="11">
        <v>46181</v>
      </c>
      <c r="B18" s="12" t="s">
        <v>26</v>
      </c>
      <c r="C18" s="13">
        <v>7000</v>
      </c>
      <c r="D18" s="14" t="s">
        <v>27</v>
      </c>
      <c r="E18" s="13">
        <v>2400</v>
      </c>
      <c r="F18" s="15"/>
      <c r="G18" s="15"/>
      <c r="H18" s="15"/>
      <c r="I18" s="15"/>
      <c r="J18" s="16"/>
    </row>
    <row r="19" spans="1:10" ht="18.95" customHeight="1" x14ac:dyDescent="0.3">
      <c r="A19" s="11">
        <v>46184</v>
      </c>
      <c r="B19" s="12" t="s">
        <v>28</v>
      </c>
      <c r="C19" s="13">
        <v>7000</v>
      </c>
      <c r="D19" s="14" t="s">
        <v>29</v>
      </c>
      <c r="E19" s="13">
        <v>2400</v>
      </c>
      <c r="F19" s="15"/>
      <c r="G19" s="15"/>
      <c r="H19" s="15"/>
      <c r="I19" s="15"/>
      <c r="J19" s="16"/>
    </row>
    <row r="20" spans="1:10" ht="18.95" customHeight="1" x14ac:dyDescent="0.3">
      <c r="A20" s="11">
        <v>46184</v>
      </c>
      <c r="B20" s="12" t="s">
        <v>20</v>
      </c>
      <c r="C20" s="13">
        <v>9000</v>
      </c>
      <c r="D20" s="14" t="s">
        <v>21</v>
      </c>
      <c r="E20" s="13">
        <v>2900</v>
      </c>
      <c r="F20" s="15"/>
      <c r="G20" s="15"/>
      <c r="H20" s="15"/>
      <c r="I20" s="15"/>
      <c r="J20" s="16"/>
    </row>
    <row r="21" spans="1:10" ht="18.95" customHeight="1" x14ac:dyDescent="0.3">
      <c r="A21" s="11">
        <v>46185</v>
      </c>
      <c r="B21" s="12" t="s">
        <v>28</v>
      </c>
      <c r="C21" s="13">
        <v>7000</v>
      </c>
      <c r="D21" s="14" t="s">
        <v>30</v>
      </c>
      <c r="E21" s="13">
        <v>2400</v>
      </c>
      <c r="F21" s="15">
        <v>77000</v>
      </c>
      <c r="G21" s="15"/>
      <c r="H21" s="15"/>
      <c r="I21" s="15"/>
      <c r="J21" s="16"/>
    </row>
    <row r="22" spans="1:10" ht="18.95" customHeight="1" x14ac:dyDescent="0.3">
      <c r="A22" s="11">
        <v>46185</v>
      </c>
      <c r="B22" s="12" t="s">
        <v>20</v>
      </c>
      <c r="C22" s="13">
        <v>9000</v>
      </c>
      <c r="D22" s="14" t="s">
        <v>31</v>
      </c>
      <c r="E22" s="13">
        <v>2900</v>
      </c>
      <c r="F22" s="15"/>
      <c r="G22" s="15"/>
      <c r="H22" s="15"/>
      <c r="I22" s="15"/>
      <c r="J22" s="16"/>
    </row>
    <row r="23" spans="1:10" ht="18.95" customHeight="1" x14ac:dyDescent="0.3">
      <c r="A23" s="11">
        <v>46188</v>
      </c>
      <c r="B23" s="12" t="s">
        <v>15</v>
      </c>
      <c r="C23" s="13">
        <v>9000</v>
      </c>
      <c r="D23" s="14" t="s">
        <v>32</v>
      </c>
      <c r="E23" s="13">
        <v>2900</v>
      </c>
      <c r="F23" s="15"/>
      <c r="G23" s="15"/>
      <c r="H23" s="15"/>
      <c r="I23" s="15"/>
      <c r="J23" s="16"/>
    </row>
    <row r="24" spans="1:10" ht="18.95" customHeight="1" x14ac:dyDescent="0.3">
      <c r="A24" s="11">
        <v>46188</v>
      </c>
      <c r="B24" s="12" t="s">
        <v>20</v>
      </c>
      <c r="C24" s="13">
        <v>9000</v>
      </c>
      <c r="D24" s="14" t="s">
        <v>33</v>
      </c>
      <c r="E24" s="13">
        <v>2900</v>
      </c>
      <c r="F24" s="15"/>
      <c r="G24" s="15"/>
      <c r="H24" s="15"/>
      <c r="I24" s="15"/>
      <c r="J24" s="19"/>
    </row>
    <row r="25" spans="1:10" ht="18.95" customHeight="1" x14ac:dyDescent="0.3">
      <c r="A25" s="11">
        <v>46189</v>
      </c>
      <c r="B25" s="12" t="s">
        <v>15</v>
      </c>
      <c r="C25" s="13">
        <v>9000</v>
      </c>
      <c r="D25" s="14" t="s">
        <v>34</v>
      </c>
      <c r="E25" s="13">
        <v>2900</v>
      </c>
      <c r="F25" s="15"/>
      <c r="G25" s="15"/>
      <c r="H25" s="15">
        <v>35400</v>
      </c>
      <c r="I25" s="15"/>
      <c r="J25" s="16"/>
    </row>
    <row r="26" spans="1:10" ht="18.95" customHeight="1" x14ac:dyDescent="0.3">
      <c r="A26" s="11">
        <v>46189</v>
      </c>
      <c r="B26" s="12" t="s">
        <v>20</v>
      </c>
      <c r="C26" s="13">
        <v>9000</v>
      </c>
      <c r="D26" s="14" t="s">
        <v>35</v>
      </c>
      <c r="E26" s="13">
        <v>2900</v>
      </c>
      <c r="F26" s="13"/>
      <c r="G26" s="13"/>
      <c r="H26" s="13"/>
      <c r="I26" s="13"/>
      <c r="J26" s="16"/>
    </row>
    <row r="27" spans="1:10" ht="18.95" customHeight="1" x14ac:dyDescent="0.3">
      <c r="A27" s="11">
        <v>46190</v>
      </c>
      <c r="B27" s="12" t="s">
        <v>15</v>
      </c>
      <c r="C27" s="13">
        <v>9000</v>
      </c>
      <c r="D27" s="14" t="s">
        <v>36</v>
      </c>
      <c r="E27" s="13">
        <v>2900</v>
      </c>
      <c r="F27" s="13"/>
      <c r="G27" s="13"/>
      <c r="H27" s="13"/>
      <c r="I27" s="13"/>
      <c r="J27" s="16"/>
    </row>
    <row r="28" spans="1:10" ht="18.95" customHeight="1" x14ac:dyDescent="0.3">
      <c r="A28" s="11">
        <v>46190</v>
      </c>
      <c r="B28" s="12" t="s">
        <v>20</v>
      </c>
      <c r="C28" s="13">
        <v>9000</v>
      </c>
      <c r="D28" s="14" t="s">
        <v>37</v>
      </c>
      <c r="E28" s="13">
        <v>2900</v>
      </c>
      <c r="F28" s="15"/>
      <c r="G28" s="15"/>
      <c r="H28" s="15"/>
      <c r="I28" s="15"/>
      <c r="J28" s="19"/>
    </row>
    <row r="29" spans="1:10" ht="18.95" customHeight="1" x14ac:dyDescent="0.3">
      <c r="A29" s="11">
        <v>46191</v>
      </c>
      <c r="B29" s="12" t="s">
        <v>15</v>
      </c>
      <c r="C29" s="13">
        <v>9000</v>
      </c>
      <c r="D29" s="14" t="s">
        <v>38</v>
      </c>
      <c r="E29" s="13">
        <v>2900</v>
      </c>
      <c r="F29" s="13"/>
      <c r="G29" s="13"/>
      <c r="H29" s="13"/>
      <c r="I29" s="13"/>
      <c r="J29" s="16"/>
    </row>
    <row r="30" spans="1:10" ht="18.95" customHeight="1" x14ac:dyDescent="0.3">
      <c r="A30" s="11">
        <v>46191</v>
      </c>
      <c r="B30" s="12" t="s">
        <v>20</v>
      </c>
      <c r="C30" s="13">
        <v>9000</v>
      </c>
      <c r="D30" s="14" t="s">
        <v>39</v>
      </c>
      <c r="E30" s="13">
        <v>2900</v>
      </c>
      <c r="F30" s="15"/>
      <c r="G30" s="15"/>
      <c r="H30" s="15"/>
      <c r="I30" s="15"/>
      <c r="J30" s="16"/>
    </row>
    <row r="31" spans="1:10" ht="18.95" customHeight="1" x14ac:dyDescent="0.3">
      <c r="A31" s="11">
        <v>46192</v>
      </c>
      <c r="B31" s="12" t="s">
        <v>15</v>
      </c>
      <c r="C31" s="13">
        <v>9000</v>
      </c>
      <c r="D31" s="14" t="s">
        <v>40</v>
      </c>
      <c r="E31" s="13">
        <v>2900</v>
      </c>
      <c r="F31" s="15"/>
      <c r="G31" s="15"/>
      <c r="H31" s="15"/>
      <c r="I31" s="15"/>
      <c r="J31" s="16"/>
    </row>
    <row r="32" spans="1:10" ht="18.95" customHeight="1" x14ac:dyDescent="0.3">
      <c r="A32" s="11">
        <v>46192</v>
      </c>
      <c r="B32" s="12" t="s">
        <v>20</v>
      </c>
      <c r="C32" s="13">
        <v>9000</v>
      </c>
      <c r="D32" s="14" t="s">
        <v>41</v>
      </c>
      <c r="E32" s="13">
        <v>2900</v>
      </c>
      <c r="F32" s="15"/>
      <c r="G32" s="15"/>
      <c r="H32" s="15"/>
      <c r="I32" s="15"/>
      <c r="J32" s="16"/>
    </row>
    <row r="33" spans="1:10" ht="18.95" customHeight="1" x14ac:dyDescent="0.3">
      <c r="A33" s="11">
        <v>46195</v>
      </c>
      <c r="B33" s="12" t="s">
        <v>15</v>
      </c>
      <c r="C33" s="13">
        <v>9000</v>
      </c>
      <c r="D33" s="14" t="s">
        <v>42</v>
      </c>
      <c r="E33" s="13">
        <v>2900</v>
      </c>
      <c r="F33" s="15"/>
      <c r="G33" s="15"/>
      <c r="H33" s="15"/>
      <c r="I33" s="15"/>
      <c r="J33" s="16"/>
    </row>
    <row r="34" spans="1:10" ht="18.95" customHeight="1" x14ac:dyDescent="0.3">
      <c r="A34" s="20">
        <v>46195</v>
      </c>
      <c r="B34" s="12" t="s">
        <v>20</v>
      </c>
      <c r="C34" s="21">
        <v>9000</v>
      </c>
      <c r="D34" s="14" t="s">
        <v>43</v>
      </c>
      <c r="E34" s="21">
        <v>2900</v>
      </c>
      <c r="F34" s="21"/>
      <c r="G34" s="21"/>
      <c r="H34" s="21"/>
      <c r="I34" s="21"/>
      <c r="J34" s="22"/>
    </row>
    <row r="35" spans="1:10" ht="18.95" customHeight="1" x14ac:dyDescent="0.3">
      <c r="A35" s="20">
        <v>46196</v>
      </c>
      <c r="B35" s="12" t="s">
        <v>9</v>
      </c>
      <c r="C35" s="21">
        <v>9000</v>
      </c>
      <c r="D35" s="14" t="s">
        <v>44</v>
      </c>
      <c r="E35" s="21">
        <v>2900</v>
      </c>
      <c r="F35" s="21"/>
      <c r="G35" s="21"/>
      <c r="H35" s="21"/>
      <c r="I35" s="21"/>
      <c r="J35" s="22"/>
    </row>
    <row r="36" spans="1:10" ht="18.95" customHeight="1" x14ac:dyDescent="0.3">
      <c r="A36" s="20">
        <v>46196</v>
      </c>
      <c r="B36" s="12" t="s">
        <v>45</v>
      </c>
      <c r="C36" s="21">
        <v>8300</v>
      </c>
      <c r="D36" s="14" t="s">
        <v>46</v>
      </c>
      <c r="E36" s="21">
        <v>1800</v>
      </c>
      <c r="F36" s="21">
        <f>90000+34000</f>
        <v>124000</v>
      </c>
      <c r="G36" s="21"/>
      <c r="H36" s="21"/>
      <c r="I36" s="21"/>
      <c r="J36" s="22"/>
    </row>
    <row r="37" spans="1:10" ht="18.95" customHeight="1" x14ac:dyDescent="0.3">
      <c r="A37" s="20">
        <v>46196</v>
      </c>
      <c r="B37" s="12" t="s">
        <v>47</v>
      </c>
      <c r="C37" s="21">
        <v>5000</v>
      </c>
      <c r="D37" s="14"/>
      <c r="E37" s="21"/>
      <c r="F37" s="21"/>
      <c r="G37" s="21"/>
      <c r="H37" s="21"/>
      <c r="I37" s="21"/>
      <c r="J37" s="22"/>
    </row>
    <row r="38" spans="1:10" ht="18.95" customHeight="1" x14ac:dyDescent="0.3">
      <c r="A38" s="20">
        <v>46197</v>
      </c>
      <c r="B38" s="12" t="s">
        <v>15</v>
      </c>
      <c r="C38" s="21">
        <v>9000</v>
      </c>
      <c r="D38" s="14" t="s">
        <v>48</v>
      </c>
      <c r="E38" s="21">
        <v>2900</v>
      </c>
      <c r="F38" s="21"/>
      <c r="G38" s="21"/>
      <c r="H38" s="21"/>
      <c r="I38" s="21"/>
      <c r="J38" s="22"/>
    </row>
    <row r="39" spans="1:10" ht="18.95" customHeight="1" x14ac:dyDescent="0.3">
      <c r="A39" s="20">
        <v>46197</v>
      </c>
      <c r="B39" s="12" t="s">
        <v>20</v>
      </c>
      <c r="C39" s="21">
        <v>9000</v>
      </c>
      <c r="D39" s="14" t="s">
        <v>49</v>
      </c>
      <c r="E39" s="21">
        <v>2900</v>
      </c>
      <c r="F39" s="21"/>
      <c r="G39" s="21"/>
      <c r="H39" s="21"/>
      <c r="I39" s="21"/>
      <c r="J39" s="22"/>
    </row>
    <row r="40" spans="1:10" ht="18.95" customHeight="1" x14ac:dyDescent="0.3">
      <c r="A40" s="20">
        <v>46198</v>
      </c>
      <c r="B40" s="12" t="s">
        <v>15</v>
      </c>
      <c r="C40" s="21">
        <v>9000</v>
      </c>
      <c r="D40" s="14" t="s">
        <v>50</v>
      </c>
      <c r="E40" s="21">
        <v>2900</v>
      </c>
      <c r="F40" s="21"/>
      <c r="G40" s="21"/>
      <c r="H40" s="21"/>
      <c r="I40" s="21"/>
      <c r="J40" s="22"/>
    </row>
    <row r="41" spans="1:10" ht="18.95" customHeight="1" x14ac:dyDescent="0.3">
      <c r="A41" s="20">
        <v>46198</v>
      </c>
      <c r="B41" s="12" t="s">
        <v>20</v>
      </c>
      <c r="C41" s="21">
        <v>9000</v>
      </c>
      <c r="D41" s="14" t="s">
        <v>51</v>
      </c>
      <c r="E41" s="21">
        <v>2900</v>
      </c>
      <c r="F41" s="21"/>
      <c r="G41" s="21"/>
      <c r="H41" s="21"/>
      <c r="I41" s="21"/>
      <c r="J41" s="22"/>
    </row>
    <row r="42" spans="1:10" ht="18.95" customHeight="1" x14ac:dyDescent="0.3">
      <c r="A42" s="20">
        <v>46199</v>
      </c>
      <c r="B42" s="12" t="s">
        <v>15</v>
      </c>
      <c r="C42" s="21">
        <v>9000</v>
      </c>
      <c r="D42" s="14" t="s">
        <v>52</v>
      </c>
      <c r="E42" s="21">
        <v>2900</v>
      </c>
      <c r="F42" s="21"/>
      <c r="G42" s="21"/>
      <c r="H42" s="21"/>
      <c r="I42" s="21"/>
      <c r="J42" s="22"/>
    </row>
    <row r="43" spans="1:10" ht="18.95" customHeight="1" x14ac:dyDescent="0.3">
      <c r="A43" s="20">
        <v>46199</v>
      </c>
      <c r="B43" s="12" t="s">
        <v>20</v>
      </c>
      <c r="C43" s="21">
        <v>9000</v>
      </c>
      <c r="D43" s="14" t="s">
        <v>53</v>
      </c>
      <c r="E43" s="21">
        <v>2900</v>
      </c>
      <c r="F43" s="21"/>
      <c r="G43" s="21"/>
      <c r="H43" s="21"/>
      <c r="I43" s="21"/>
      <c r="J43" s="22"/>
    </row>
    <row r="44" spans="1:10" ht="18.95" customHeight="1" x14ac:dyDescent="0.3">
      <c r="A44" s="20">
        <v>46202</v>
      </c>
      <c r="B44" s="12" t="s">
        <v>15</v>
      </c>
      <c r="C44" s="21">
        <v>9000</v>
      </c>
      <c r="D44" s="14" t="s">
        <v>54</v>
      </c>
      <c r="E44" s="21">
        <v>2900</v>
      </c>
      <c r="F44" s="21"/>
      <c r="G44" s="21"/>
      <c r="H44" s="21"/>
      <c r="I44" s="21"/>
      <c r="J44" s="22"/>
    </row>
    <row r="45" spans="1:10" ht="18.95" customHeight="1" x14ac:dyDescent="0.3">
      <c r="A45" s="20">
        <v>46202</v>
      </c>
      <c r="B45" s="12" t="s">
        <v>20</v>
      </c>
      <c r="C45" s="21">
        <v>9000</v>
      </c>
      <c r="D45" s="14" t="s">
        <v>55</v>
      </c>
      <c r="E45" s="21">
        <v>2900</v>
      </c>
      <c r="F45" s="21"/>
      <c r="G45" s="21"/>
      <c r="H45" s="21"/>
      <c r="I45" s="21"/>
      <c r="J45" s="22"/>
    </row>
    <row r="46" spans="1:10" ht="18.95" customHeight="1" x14ac:dyDescent="0.3">
      <c r="A46" s="20">
        <v>46203</v>
      </c>
      <c r="B46" s="12" t="s">
        <v>15</v>
      </c>
      <c r="C46" s="21">
        <v>9000</v>
      </c>
      <c r="D46" s="14" t="s">
        <v>56</v>
      </c>
      <c r="E46" s="21">
        <v>2900</v>
      </c>
      <c r="F46" s="21"/>
      <c r="G46" s="21"/>
      <c r="H46" s="21"/>
      <c r="I46" s="21"/>
      <c r="J46" s="22"/>
    </row>
    <row r="47" spans="1:10" ht="18.95" customHeight="1" thickBot="1" x14ac:dyDescent="0.35">
      <c r="A47" s="20">
        <v>46203</v>
      </c>
      <c r="B47" s="12" t="s">
        <v>20</v>
      </c>
      <c r="C47" s="21">
        <v>9000</v>
      </c>
      <c r="D47" s="14" t="s">
        <v>57</v>
      </c>
      <c r="E47" s="21">
        <v>2900</v>
      </c>
      <c r="F47" s="21"/>
      <c r="G47" s="21"/>
      <c r="H47" s="21"/>
      <c r="I47" s="21"/>
      <c r="J47" s="22"/>
    </row>
    <row r="48" spans="1:10" ht="20.100000000000001" customHeight="1" x14ac:dyDescent="0.3">
      <c r="A48" s="23" t="s">
        <v>58</v>
      </c>
      <c r="B48" s="24"/>
      <c r="C48" s="25">
        <f>SUM(C8:C47)</f>
        <v>342600</v>
      </c>
      <c r="D48" s="25"/>
      <c r="E48" s="25">
        <f t="shared" ref="E48:J48" si="0">SUM(E8:E47)</f>
        <v>109100</v>
      </c>
      <c r="F48" s="25">
        <f t="shared" si="0"/>
        <v>305000</v>
      </c>
      <c r="G48" s="25">
        <f t="shared" si="0"/>
        <v>0</v>
      </c>
      <c r="H48" s="25">
        <f t="shared" si="0"/>
        <v>35400</v>
      </c>
      <c r="I48" s="25">
        <f t="shared" si="0"/>
        <v>0</v>
      </c>
      <c r="J48" s="26">
        <f t="shared" si="0"/>
        <v>0</v>
      </c>
    </row>
    <row r="49" spans="1:10" ht="20.100000000000001" customHeight="1" thickBot="1" x14ac:dyDescent="0.35">
      <c r="A49" s="27" t="s">
        <v>59</v>
      </c>
      <c r="B49" s="28"/>
      <c r="C49" s="29"/>
      <c r="D49" s="29"/>
      <c r="E49" s="29"/>
      <c r="F49" s="29"/>
      <c r="G49" s="29"/>
      <c r="H49" s="29"/>
      <c r="I49" s="30"/>
      <c r="J49" s="31">
        <f>SUM(B48:J48)</f>
        <v>792100</v>
      </c>
    </row>
    <row r="50" spans="1:10" ht="1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3"/>
    </row>
    <row r="51" spans="1:10" ht="20.100000000000001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3"/>
    </row>
    <row r="52" spans="1:10" ht="20.100000000000001" customHeight="1" x14ac:dyDescent="0.3">
      <c r="A52" s="32" t="s">
        <v>60</v>
      </c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3">
      <c r="A53" s="33">
        <v>46209</v>
      </c>
      <c r="B53" s="33"/>
      <c r="C53" s="33"/>
      <c r="D53" s="33"/>
      <c r="E53" s="33"/>
      <c r="F53" s="33"/>
      <c r="G53" s="33"/>
      <c r="H53" s="33"/>
      <c r="I53" s="33"/>
      <c r="J53" s="33"/>
    </row>
    <row r="54" spans="1:10" ht="20.100000000000001" customHeight="1" x14ac:dyDescent="0.3">
      <c r="A54" s="34" t="s">
        <v>61</v>
      </c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3.5" customHeight="1" x14ac:dyDescent="0.3">
      <c r="A55" t="s">
        <v>62</v>
      </c>
    </row>
    <row r="56" spans="1:10" ht="14.25" customHeight="1" x14ac:dyDescent="0.3"/>
  </sheetData>
  <mergeCells count="7">
    <mergeCell ref="A54:J54"/>
    <mergeCell ref="A3:J3"/>
    <mergeCell ref="A5:J5"/>
    <mergeCell ref="B7:C7"/>
    <mergeCell ref="D7:E7"/>
    <mergeCell ref="A52:J52"/>
    <mergeCell ref="A53:J53"/>
  </mergeCells>
  <phoneticPr fontId="3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67" fitToWidth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0FF7-0684-4A2D-94F5-D73F51802E6D}">
  <sheetPr>
    <tabColor rgb="FFFF0000"/>
  </sheetPr>
  <dimension ref="B1:Q41"/>
  <sheetViews>
    <sheetView showGridLines="0" view="pageBreakPreview" zoomScale="115" zoomScaleNormal="100" zoomScaleSheetLayoutView="115" workbookViewId="0">
      <selection activeCell="F12" sqref="F12:G12"/>
    </sheetView>
  </sheetViews>
  <sheetFormatPr defaultRowHeight="16.5" x14ac:dyDescent="0.3"/>
  <cols>
    <col min="1" max="1" width="5.75" customWidth="1"/>
    <col min="2" max="2" width="3.25" customWidth="1"/>
    <col min="3" max="3" width="15.25" customWidth="1"/>
    <col min="4" max="4" width="3.25" customWidth="1"/>
    <col min="5" max="5" width="15.25" customWidth="1"/>
    <col min="6" max="6" width="3.25" customWidth="1"/>
    <col min="7" max="7" width="15.25" customWidth="1"/>
    <col min="8" max="8" width="3.25" customWidth="1"/>
    <col min="9" max="9" width="15.25" customWidth="1"/>
    <col min="10" max="10" width="3.25" customWidth="1"/>
    <col min="11" max="11" width="15.25" customWidth="1"/>
    <col min="12" max="12" width="3.25" customWidth="1"/>
    <col min="13" max="13" width="15.25" customWidth="1"/>
    <col min="14" max="14" width="3.25" customWidth="1"/>
    <col min="15" max="15" width="15.25" customWidth="1"/>
  </cols>
  <sheetData>
    <row r="1" spans="2:17" ht="17.25" thickBot="1" x14ac:dyDescent="0.35"/>
    <row r="2" spans="2:17" ht="18" x14ac:dyDescent="0.3">
      <c r="B2" s="35"/>
      <c r="C2" s="36"/>
      <c r="D2" s="37"/>
      <c r="E2" s="38"/>
      <c r="F2" s="39" t="s">
        <v>63</v>
      </c>
      <c r="G2" s="39"/>
      <c r="H2" s="39"/>
      <c r="I2" s="39"/>
      <c r="J2" s="39"/>
      <c r="K2" s="39"/>
      <c r="L2" s="38"/>
      <c r="M2" s="37"/>
      <c r="N2" s="40"/>
      <c r="O2" s="41"/>
      <c r="P2" t="s">
        <v>62</v>
      </c>
    </row>
    <row r="3" spans="2:17" x14ac:dyDescent="0.3">
      <c r="B3" s="42" t="s">
        <v>64</v>
      </c>
      <c r="C3" s="43"/>
      <c r="D3" s="43" t="s">
        <v>65</v>
      </c>
      <c r="E3" s="43"/>
      <c r="F3" s="43" t="s">
        <v>66</v>
      </c>
      <c r="G3" s="43"/>
      <c r="H3" s="43" t="s">
        <v>67</v>
      </c>
      <c r="I3" s="43"/>
      <c r="J3" s="43" t="s">
        <v>68</v>
      </c>
      <c r="K3" s="43"/>
      <c r="L3" s="43" t="s">
        <v>69</v>
      </c>
      <c r="M3" s="43"/>
      <c r="N3" s="43" t="s">
        <v>70</v>
      </c>
      <c r="O3" s="44"/>
      <c r="P3" t="s">
        <v>62</v>
      </c>
    </row>
    <row r="4" spans="2:17" ht="15" customHeight="1" x14ac:dyDescent="0.3">
      <c r="B4" s="45"/>
      <c r="C4" s="46"/>
      <c r="D4" s="47">
        <f>B4+1</f>
        <v>1</v>
      </c>
      <c r="E4" s="48"/>
      <c r="F4" s="47">
        <f>D4+1</f>
        <v>2</v>
      </c>
      <c r="G4" s="48"/>
      <c r="H4" s="47">
        <f>F4+1</f>
        <v>3</v>
      </c>
      <c r="I4" s="48"/>
      <c r="J4" s="47">
        <f>H4+1</f>
        <v>4</v>
      </c>
      <c r="K4" s="48"/>
      <c r="L4" s="47">
        <f>J4+1</f>
        <v>5</v>
      </c>
      <c r="M4" s="49"/>
      <c r="N4" s="50">
        <f>L4+1</f>
        <v>6</v>
      </c>
      <c r="O4" s="51"/>
      <c r="P4" t="s">
        <v>62</v>
      </c>
      <c r="Q4" s="3" t="s">
        <v>71</v>
      </c>
    </row>
    <row r="5" spans="2:17" ht="12.75" customHeight="1" x14ac:dyDescent="0.3">
      <c r="B5" s="52"/>
      <c r="C5" s="53"/>
      <c r="D5" s="54" t="s">
        <v>72</v>
      </c>
      <c r="E5" s="55"/>
      <c r="F5" s="54" t="s">
        <v>72</v>
      </c>
      <c r="G5" s="55"/>
      <c r="H5" s="54"/>
      <c r="I5" s="55"/>
      <c r="J5" s="54" t="s">
        <v>72</v>
      </c>
      <c r="K5" s="55"/>
      <c r="L5" s="56" t="s">
        <v>73</v>
      </c>
      <c r="M5" s="57"/>
      <c r="N5" s="58"/>
      <c r="O5" s="59"/>
      <c r="P5" t="s">
        <v>62</v>
      </c>
      <c r="Q5" s="60" t="s">
        <v>74</v>
      </c>
    </row>
    <row r="6" spans="2:17" ht="12.75" customHeight="1" x14ac:dyDescent="0.3">
      <c r="B6" s="52"/>
      <c r="C6" s="53"/>
      <c r="D6" s="61" t="s">
        <v>75</v>
      </c>
      <c r="E6" s="62"/>
      <c r="F6" s="54" t="s">
        <v>76</v>
      </c>
      <c r="G6" s="55"/>
      <c r="H6" s="54"/>
      <c r="I6" s="55"/>
      <c r="J6" s="54" t="s">
        <v>76</v>
      </c>
      <c r="K6" s="55"/>
      <c r="L6" s="56" t="s">
        <v>77</v>
      </c>
      <c r="M6" s="57"/>
      <c r="N6" s="58"/>
      <c r="O6" s="59"/>
      <c r="P6" t="s">
        <v>62</v>
      </c>
      <c r="Q6" s="60" t="s">
        <v>78</v>
      </c>
    </row>
    <row r="7" spans="2:17" ht="12.75" customHeight="1" x14ac:dyDescent="0.3">
      <c r="B7" s="52"/>
      <c r="C7" s="53"/>
      <c r="D7" s="54" t="s">
        <v>79</v>
      </c>
      <c r="E7" s="55"/>
      <c r="F7" s="54"/>
      <c r="G7" s="55"/>
      <c r="H7" s="54"/>
      <c r="I7" s="55"/>
      <c r="J7" s="54"/>
      <c r="K7" s="55"/>
      <c r="L7" s="56"/>
      <c r="M7" s="57"/>
      <c r="N7" s="58"/>
      <c r="O7" s="59"/>
      <c r="P7" t="s">
        <v>62</v>
      </c>
      <c r="Q7" s="60"/>
    </row>
    <row r="8" spans="2:17" ht="12.75" customHeight="1" x14ac:dyDescent="0.3">
      <c r="B8" s="52"/>
      <c r="C8" s="53"/>
      <c r="D8" s="54"/>
      <c r="E8" s="55"/>
      <c r="F8" s="54"/>
      <c r="G8" s="55"/>
      <c r="H8" s="54"/>
      <c r="I8" s="55"/>
      <c r="J8" s="54"/>
      <c r="K8" s="55"/>
      <c r="L8" s="56"/>
      <c r="M8" s="57"/>
      <c r="N8" s="58"/>
      <c r="O8" s="59"/>
      <c r="P8" t="s">
        <v>62</v>
      </c>
      <c r="Q8" s="60" t="s">
        <v>80</v>
      </c>
    </row>
    <row r="9" spans="2:17" ht="12.75" customHeight="1" x14ac:dyDescent="0.3">
      <c r="B9" s="52"/>
      <c r="C9" s="53"/>
      <c r="D9" s="54"/>
      <c r="E9" s="55"/>
      <c r="F9" s="54"/>
      <c r="G9" s="55"/>
      <c r="H9" s="54"/>
      <c r="I9" s="55"/>
      <c r="J9" s="54"/>
      <c r="K9" s="55"/>
      <c r="L9" s="56"/>
      <c r="M9" s="57"/>
      <c r="N9" s="58" t="s">
        <v>62</v>
      </c>
      <c r="O9" s="59"/>
      <c r="P9" t="s">
        <v>62</v>
      </c>
      <c r="Q9" s="60" t="s">
        <v>81</v>
      </c>
    </row>
    <row r="10" spans="2:17" ht="15" customHeight="1" x14ac:dyDescent="0.3">
      <c r="B10" s="63">
        <f>N4+1</f>
        <v>7</v>
      </c>
      <c r="C10" s="64"/>
      <c r="D10" s="47">
        <f>B10+1</f>
        <v>8</v>
      </c>
      <c r="E10" s="49"/>
      <c r="F10" s="47">
        <f>D10+1</f>
        <v>9</v>
      </c>
      <c r="G10" s="49"/>
      <c r="H10" s="47">
        <f>F10+1</f>
        <v>10</v>
      </c>
      <c r="I10" s="49"/>
      <c r="J10" s="47">
        <f>H10+1</f>
        <v>11</v>
      </c>
      <c r="K10" s="49"/>
      <c r="L10" s="47">
        <f>J10+1</f>
        <v>12</v>
      </c>
      <c r="M10" s="49"/>
      <c r="N10" s="50">
        <f>L10+1</f>
        <v>13</v>
      </c>
      <c r="O10" s="51"/>
      <c r="P10" t="s">
        <v>62</v>
      </c>
      <c r="Q10" s="60"/>
    </row>
    <row r="11" spans="2:17" ht="12.75" customHeight="1" x14ac:dyDescent="0.3">
      <c r="B11" s="65"/>
      <c r="C11" s="66"/>
      <c r="D11" s="56" t="s">
        <v>72</v>
      </c>
      <c r="E11" s="57"/>
      <c r="F11" s="56"/>
      <c r="G11" s="57"/>
      <c r="H11" s="56"/>
      <c r="I11" s="57"/>
      <c r="J11" s="56" t="s">
        <v>73</v>
      </c>
      <c r="K11" s="57"/>
      <c r="L11" s="56" t="s">
        <v>73</v>
      </c>
      <c r="M11" s="57"/>
      <c r="N11" s="58"/>
      <c r="O11" s="59"/>
      <c r="P11" t="s">
        <v>62</v>
      </c>
      <c r="Q11" s="60" t="s">
        <v>82</v>
      </c>
    </row>
    <row r="12" spans="2:17" ht="12.75" customHeight="1" x14ac:dyDescent="0.3">
      <c r="B12" s="65" t="s">
        <v>62</v>
      </c>
      <c r="C12" s="66"/>
      <c r="D12" s="56" t="s">
        <v>76</v>
      </c>
      <c r="E12" s="57"/>
      <c r="F12" s="56"/>
      <c r="G12" s="57"/>
      <c r="H12" s="56"/>
      <c r="I12" s="57"/>
      <c r="J12" s="56" t="s">
        <v>77</v>
      </c>
      <c r="K12" s="57"/>
      <c r="L12" s="56" t="s">
        <v>77</v>
      </c>
      <c r="M12" s="57"/>
      <c r="N12" s="58"/>
      <c r="O12" s="59"/>
      <c r="P12" t="s">
        <v>62</v>
      </c>
      <c r="Q12" s="60"/>
    </row>
    <row r="13" spans="2:17" ht="12.75" customHeight="1" x14ac:dyDescent="0.3">
      <c r="B13" s="65" t="s">
        <v>62</v>
      </c>
      <c r="C13" s="66"/>
      <c r="D13" s="56"/>
      <c r="E13" s="57"/>
      <c r="F13" s="56"/>
      <c r="G13" s="57"/>
      <c r="H13" s="56"/>
      <c r="I13" s="57"/>
      <c r="J13" s="56"/>
      <c r="K13" s="57"/>
      <c r="L13" s="67" t="s">
        <v>83</v>
      </c>
      <c r="M13" s="68"/>
      <c r="N13" s="58"/>
      <c r="O13" s="59"/>
      <c r="P13" t="s">
        <v>62</v>
      </c>
      <c r="Q13" s="60" t="s">
        <v>84</v>
      </c>
    </row>
    <row r="14" spans="2:17" ht="12.75" customHeight="1" x14ac:dyDescent="0.3">
      <c r="B14" s="65" t="s">
        <v>62</v>
      </c>
      <c r="C14" s="66"/>
      <c r="D14" s="56"/>
      <c r="E14" s="57"/>
      <c r="F14" s="56"/>
      <c r="G14" s="57"/>
      <c r="H14" s="56"/>
      <c r="I14" s="57"/>
      <c r="J14" s="56"/>
      <c r="K14" s="57"/>
      <c r="L14" s="56" t="s">
        <v>85</v>
      </c>
      <c r="M14" s="57"/>
      <c r="N14" s="58"/>
      <c r="O14" s="59"/>
      <c r="P14" t="s">
        <v>62</v>
      </c>
      <c r="Q14" s="60" t="s">
        <v>86</v>
      </c>
    </row>
    <row r="15" spans="2:17" ht="12.75" customHeight="1" x14ac:dyDescent="0.3">
      <c r="B15" s="65" t="s">
        <v>62</v>
      </c>
      <c r="C15" s="66"/>
      <c r="D15" s="56"/>
      <c r="E15" s="57"/>
      <c r="F15" s="56"/>
      <c r="G15" s="57"/>
      <c r="H15" s="56"/>
      <c r="I15" s="57"/>
      <c r="J15" s="56"/>
      <c r="K15" s="57"/>
      <c r="L15" s="56" t="s">
        <v>87</v>
      </c>
      <c r="M15" s="57"/>
      <c r="N15" s="58" t="s">
        <v>62</v>
      </c>
      <c r="O15" s="59"/>
      <c r="P15" t="s">
        <v>62</v>
      </c>
      <c r="Q15" s="60"/>
    </row>
    <row r="16" spans="2:17" ht="15" customHeight="1" x14ac:dyDescent="0.3">
      <c r="B16" s="63">
        <f>N10+1</f>
        <v>14</v>
      </c>
      <c r="C16" s="64"/>
      <c r="D16" s="47">
        <f>B16+1</f>
        <v>15</v>
      </c>
      <c r="E16" s="49"/>
      <c r="F16" s="47">
        <f>D16+1</f>
        <v>16</v>
      </c>
      <c r="G16" s="49"/>
      <c r="H16" s="47">
        <f>F16+1</f>
        <v>17</v>
      </c>
      <c r="I16" s="49"/>
      <c r="J16" s="47">
        <f>H16+1</f>
        <v>18</v>
      </c>
      <c r="K16" s="49"/>
      <c r="L16" s="47">
        <f>J16+1</f>
        <v>19</v>
      </c>
      <c r="M16" s="49"/>
      <c r="N16" s="50">
        <f>L16+1</f>
        <v>20</v>
      </c>
      <c r="O16" s="51"/>
      <c r="P16" t="s">
        <v>62</v>
      </c>
      <c r="Q16" s="60"/>
    </row>
    <row r="17" spans="2:17" ht="12.75" customHeight="1" x14ac:dyDescent="0.3">
      <c r="B17" s="65"/>
      <c r="C17" s="66"/>
      <c r="D17" s="56" t="s">
        <v>73</v>
      </c>
      <c r="E17" s="57"/>
      <c r="F17" s="56" t="s">
        <v>73</v>
      </c>
      <c r="G17" s="57"/>
      <c r="H17" s="56" t="s">
        <v>73</v>
      </c>
      <c r="I17" s="57"/>
      <c r="J17" s="56" t="s">
        <v>73</v>
      </c>
      <c r="K17" s="57"/>
      <c r="L17" s="56" t="s">
        <v>73</v>
      </c>
      <c r="M17" s="57"/>
      <c r="N17" s="58"/>
      <c r="O17" s="59"/>
      <c r="P17" t="s">
        <v>62</v>
      </c>
      <c r="Q17" s="60"/>
    </row>
    <row r="18" spans="2:17" ht="12.75" customHeight="1" x14ac:dyDescent="0.3">
      <c r="B18" s="65" t="s">
        <v>62</v>
      </c>
      <c r="C18" s="66"/>
      <c r="D18" s="56" t="s">
        <v>77</v>
      </c>
      <c r="E18" s="57"/>
      <c r="F18" s="56" t="s">
        <v>77</v>
      </c>
      <c r="G18" s="57"/>
      <c r="H18" s="56" t="s">
        <v>77</v>
      </c>
      <c r="I18" s="57"/>
      <c r="J18" s="56" t="s">
        <v>77</v>
      </c>
      <c r="K18" s="57"/>
      <c r="L18" s="56" t="s">
        <v>77</v>
      </c>
      <c r="M18" s="57"/>
      <c r="N18" s="58"/>
      <c r="O18" s="59"/>
      <c r="P18" t="s">
        <v>62</v>
      </c>
      <c r="Q18" s="60"/>
    </row>
    <row r="19" spans="2:17" ht="12.75" customHeight="1" x14ac:dyDescent="0.3">
      <c r="B19" s="65" t="s">
        <v>62</v>
      </c>
      <c r="C19" s="66"/>
      <c r="D19" s="56"/>
      <c r="E19" s="57"/>
      <c r="F19" s="56" t="s">
        <v>88</v>
      </c>
      <c r="G19" s="57"/>
      <c r="H19" s="56"/>
      <c r="I19" s="57"/>
      <c r="J19" s="56"/>
      <c r="K19" s="57"/>
      <c r="L19" s="56"/>
      <c r="M19" s="57"/>
      <c r="N19" s="58"/>
      <c r="O19" s="59"/>
      <c r="P19" t="s">
        <v>62</v>
      </c>
      <c r="Q19" s="60"/>
    </row>
    <row r="20" spans="2:17" ht="12.75" customHeight="1" x14ac:dyDescent="0.3">
      <c r="B20" s="65" t="s">
        <v>62</v>
      </c>
      <c r="C20" s="66"/>
      <c r="D20" s="56"/>
      <c r="E20" s="57"/>
      <c r="F20" s="56"/>
      <c r="G20" s="57"/>
      <c r="H20" s="56"/>
      <c r="I20" s="57"/>
      <c r="J20" s="56"/>
      <c r="K20" s="57"/>
      <c r="L20" s="56"/>
      <c r="M20" s="57"/>
      <c r="N20" s="58"/>
      <c r="O20" s="59"/>
      <c r="P20" t="s">
        <v>62</v>
      </c>
      <c r="Q20" s="60"/>
    </row>
    <row r="21" spans="2:17" ht="12.75" customHeight="1" x14ac:dyDescent="0.3">
      <c r="B21" s="65" t="s">
        <v>62</v>
      </c>
      <c r="C21" s="66"/>
      <c r="D21" s="56"/>
      <c r="E21" s="57"/>
      <c r="F21" s="56"/>
      <c r="G21" s="57"/>
      <c r="H21" s="56"/>
      <c r="I21" s="57"/>
      <c r="J21" s="56"/>
      <c r="K21" s="57"/>
      <c r="L21" s="56"/>
      <c r="M21" s="57"/>
      <c r="N21" s="58" t="s">
        <v>62</v>
      </c>
      <c r="O21" s="59"/>
      <c r="P21" t="s">
        <v>62</v>
      </c>
      <c r="Q21" s="60"/>
    </row>
    <row r="22" spans="2:17" ht="15" customHeight="1" x14ac:dyDescent="0.3">
      <c r="B22" s="63">
        <f>N16+1</f>
        <v>21</v>
      </c>
      <c r="C22" s="64"/>
      <c r="D22" s="47">
        <f>B22+1</f>
        <v>22</v>
      </c>
      <c r="E22" s="49"/>
      <c r="F22" s="47">
        <f>D22+1</f>
        <v>23</v>
      </c>
      <c r="G22" s="49"/>
      <c r="H22" s="47">
        <f>F22+1</f>
        <v>24</v>
      </c>
      <c r="I22" s="49"/>
      <c r="J22" s="47">
        <f>H22+1</f>
        <v>25</v>
      </c>
      <c r="K22" s="49"/>
      <c r="L22" s="47">
        <f>J22+1</f>
        <v>26</v>
      </c>
      <c r="M22" s="49"/>
      <c r="N22" s="50">
        <f>L22+1</f>
        <v>27</v>
      </c>
      <c r="O22" s="51"/>
      <c r="P22" t="s">
        <v>62</v>
      </c>
      <c r="Q22" s="60"/>
    </row>
    <row r="23" spans="2:17" ht="12.75" customHeight="1" x14ac:dyDescent="0.3">
      <c r="B23" s="65"/>
      <c r="C23" s="66"/>
      <c r="D23" s="56" t="s">
        <v>73</v>
      </c>
      <c r="E23" s="57"/>
      <c r="F23" s="56" t="s">
        <v>73</v>
      </c>
      <c r="G23" s="57"/>
      <c r="H23" s="56" t="s">
        <v>73</v>
      </c>
      <c r="I23" s="57"/>
      <c r="J23" s="56" t="s">
        <v>73</v>
      </c>
      <c r="K23" s="57"/>
      <c r="L23" s="56" t="s">
        <v>73</v>
      </c>
      <c r="M23" s="57"/>
      <c r="N23" s="58"/>
      <c r="O23" s="59"/>
      <c r="P23" t="s">
        <v>62</v>
      </c>
      <c r="Q23" s="60"/>
    </row>
    <row r="24" spans="2:17" ht="12.75" customHeight="1" x14ac:dyDescent="0.3">
      <c r="B24" s="65" t="s">
        <v>62</v>
      </c>
      <c r="C24" s="66"/>
      <c r="D24" s="56" t="s">
        <v>77</v>
      </c>
      <c r="E24" s="69"/>
      <c r="F24" s="67" t="s">
        <v>89</v>
      </c>
      <c r="G24" s="68"/>
      <c r="H24" s="56" t="s">
        <v>77</v>
      </c>
      <c r="I24" s="57"/>
      <c r="J24" s="56" t="s">
        <v>77</v>
      </c>
      <c r="K24" s="57"/>
      <c r="L24" s="56" t="s">
        <v>77</v>
      </c>
      <c r="M24" s="57"/>
      <c r="N24" s="58"/>
      <c r="O24" s="59"/>
      <c r="P24" t="s">
        <v>62</v>
      </c>
      <c r="Q24" s="60"/>
    </row>
    <row r="25" spans="2:17" ht="12.75" customHeight="1" x14ac:dyDescent="0.3">
      <c r="B25" s="65" t="s">
        <v>62</v>
      </c>
      <c r="C25" s="66"/>
      <c r="D25" s="56"/>
      <c r="E25" s="57"/>
      <c r="F25" s="56" t="s">
        <v>90</v>
      </c>
      <c r="G25" s="57"/>
      <c r="H25" s="56"/>
      <c r="I25" s="57"/>
      <c r="J25" s="70"/>
      <c r="K25" s="71"/>
      <c r="L25" s="56"/>
      <c r="M25" s="57"/>
      <c r="N25" s="58"/>
      <c r="O25" s="59"/>
      <c r="P25" t="s">
        <v>62</v>
      </c>
      <c r="Q25" s="60"/>
    </row>
    <row r="26" spans="2:17" ht="12.75" customHeight="1" x14ac:dyDescent="0.3">
      <c r="B26" s="65" t="s">
        <v>62</v>
      </c>
      <c r="C26" s="66"/>
      <c r="D26" s="56"/>
      <c r="E26" s="57"/>
      <c r="F26" s="56" t="s">
        <v>91</v>
      </c>
      <c r="G26" s="57"/>
      <c r="H26" s="56"/>
      <c r="I26" s="57"/>
      <c r="J26" s="70"/>
      <c r="K26" s="71"/>
      <c r="L26" s="56"/>
      <c r="M26" s="57"/>
      <c r="N26" s="58"/>
      <c r="O26" s="59"/>
      <c r="P26" t="s">
        <v>62</v>
      </c>
      <c r="Q26" s="60"/>
    </row>
    <row r="27" spans="2:17" ht="12.75" customHeight="1" x14ac:dyDescent="0.3">
      <c r="B27" s="65" t="s">
        <v>62</v>
      </c>
      <c r="C27" s="66"/>
      <c r="D27" s="56"/>
      <c r="E27" s="57"/>
      <c r="F27" s="56"/>
      <c r="G27" s="57"/>
      <c r="H27" s="56"/>
      <c r="I27" s="57"/>
      <c r="J27" s="72"/>
      <c r="K27" s="73"/>
      <c r="L27" s="56"/>
      <c r="M27" s="57"/>
      <c r="N27" s="58"/>
      <c r="O27" s="59"/>
      <c r="P27" t="s">
        <v>62</v>
      </c>
      <c r="Q27" s="74"/>
    </row>
    <row r="28" spans="2:17" ht="15" customHeight="1" x14ac:dyDescent="0.3">
      <c r="B28" s="63">
        <f>N22+1</f>
        <v>28</v>
      </c>
      <c r="C28" s="64"/>
      <c r="D28" s="47">
        <f>B28+1</f>
        <v>29</v>
      </c>
      <c r="E28" s="49"/>
      <c r="F28" s="47">
        <f>D28+1</f>
        <v>30</v>
      </c>
      <c r="G28" s="49"/>
      <c r="H28" s="75"/>
      <c r="I28" s="46"/>
      <c r="J28" s="75"/>
      <c r="K28" s="46"/>
      <c r="L28" s="75"/>
      <c r="M28" s="46"/>
      <c r="N28" s="75"/>
      <c r="O28" s="76"/>
      <c r="P28" t="s">
        <v>62</v>
      </c>
      <c r="Q28" s="74"/>
    </row>
    <row r="29" spans="2:17" ht="12.75" customHeight="1" x14ac:dyDescent="0.3">
      <c r="B29" s="65"/>
      <c r="C29" s="66"/>
      <c r="D29" s="56" t="s">
        <v>73</v>
      </c>
      <c r="E29" s="57"/>
      <c r="F29" s="56" t="s">
        <v>73</v>
      </c>
      <c r="G29" s="57"/>
      <c r="H29" s="77"/>
      <c r="I29" s="53"/>
      <c r="J29" s="77"/>
      <c r="K29" s="53"/>
      <c r="L29" s="77"/>
      <c r="M29" s="53"/>
      <c r="N29" s="77"/>
      <c r="O29" s="78"/>
      <c r="P29" t="s">
        <v>62</v>
      </c>
      <c r="Q29" s="74"/>
    </row>
    <row r="30" spans="2:17" ht="12.75" customHeight="1" x14ac:dyDescent="0.3">
      <c r="B30" s="65" t="s">
        <v>62</v>
      </c>
      <c r="C30" s="66"/>
      <c r="D30" s="56" t="s">
        <v>77</v>
      </c>
      <c r="E30" s="57"/>
      <c r="F30" s="56" t="s">
        <v>77</v>
      </c>
      <c r="G30" s="57"/>
      <c r="H30" s="77"/>
      <c r="I30" s="53"/>
      <c r="J30" s="77"/>
      <c r="K30" s="53"/>
      <c r="L30" s="77"/>
      <c r="M30" s="53"/>
      <c r="N30" s="77"/>
      <c r="O30" s="78"/>
      <c r="P30" t="s">
        <v>62</v>
      </c>
      <c r="Q30" s="74"/>
    </row>
    <row r="31" spans="2:17" ht="12.75" customHeight="1" x14ac:dyDescent="0.3">
      <c r="B31" s="65" t="s">
        <v>62</v>
      </c>
      <c r="C31" s="66"/>
      <c r="D31" s="67"/>
      <c r="E31" s="68"/>
      <c r="F31" s="56"/>
      <c r="G31" s="57"/>
      <c r="H31" s="77"/>
      <c r="I31" s="53"/>
      <c r="J31" s="77"/>
      <c r="K31" s="79"/>
      <c r="L31" s="77"/>
      <c r="M31" s="53"/>
      <c r="N31" s="77"/>
      <c r="O31" s="78"/>
      <c r="P31" t="s">
        <v>62</v>
      </c>
      <c r="Q31" s="74"/>
    </row>
    <row r="32" spans="2:17" ht="12.75" customHeight="1" x14ac:dyDescent="0.3">
      <c r="B32" s="65" t="s">
        <v>62</v>
      </c>
      <c r="C32" s="66"/>
      <c r="D32" s="56"/>
      <c r="E32" s="57"/>
      <c r="F32" s="56"/>
      <c r="G32" s="57"/>
      <c r="H32" s="77"/>
      <c r="I32" s="53"/>
      <c r="J32" s="77"/>
      <c r="K32" s="79"/>
      <c r="L32" s="77"/>
      <c r="M32" s="53"/>
      <c r="N32" s="77"/>
      <c r="O32" s="78"/>
      <c r="P32" t="s">
        <v>62</v>
      </c>
      <c r="Q32" s="74"/>
    </row>
    <row r="33" spans="2:17" ht="13.5" customHeight="1" x14ac:dyDescent="0.3">
      <c r="B33" s="65" t="s">
        <v>62</v>
      </c>
      <c r="C33" s="66"/>
      <c r="D33" s="56"/>
      <c r="E33" s="57"/>
      <c r="F33" s="56"/>
      <c r="G33" s="57"/>
      <c r="H33" s="77"/>
      <c r="I33" s="53"/>
      <c r="J33" s="80"/>
      <c r="K33" s="81"/>
      <c r="L33" s="77"/>
      <c r="M33" s="53"/>
      <c r="N33" s="77"/>
      <c r="O33" s="78"/>
      <c r="P33" t="s">
        <v>62</v>
      </c>
      <c r="Q33" s="74"/>
    </row>
    <row r="34" spans="2:17" ht="14.25" customHeight="1" x14ac:dyDescent="0.3">
      <c r="B34" s="45"/>
      <c r="C34" s="46"/>
      <c r="D34" s="75"/>
      <c r="E34" s="46"/>
      <c r="F34" s="75"/>
      <c r="G34" s="46"/>
      <c r="H34" s="75"/>
      <c r="I34" s="46"/>
      <c r="J34" s="75"/>
      <c r="K34" s="46"/>
      <c r="L34" s="75"/>
      <c r="M34" s="46"/>
      <c r="N34" s="75"/>
      <c r="O34" s="76"/>
      <c r="Q34" s="74"/>
    </row>
    <row r="35" spans="2:17" x14ac:dyDescent="0.3">
      <c r="B35" s="52"/>
      <c r="C35" s="53"/>
      <c r="D35" s="77"/>
      <c r="E35" s="53"/>
      <c r="F35" s="77"/>
      <c r="G35" s="53"/>
      <c r="H35" s="77"/>
      <c r="I35" s="53"/>
      <c r="J35" s="77"/>
      <c r="K35" s="53"/>
      <c r="L35" s="77"/>
      <c r="M35" s="53"/>
      <c r="N35" s="77"/>
      <c r="O35" s="78"/>
      <c r="Q35" s="74"/>
    </row>
    <row r="36" spans="2:17" x14ac:dyDescent="0.3">
      <c r="B36" s="52"/>
      <c r="C36" s="53"/>
      <c r="D36" s="77"/>
      <c r="E36" s="53"/>
      <c r="F36" s="82"/>
      <c r="G36" s="83"/>
      <c r="H36" s="82"/>
      <c r="I36" s="83"/>
      <c r="J36" s="82"/>
      <c r="K36" s="83"/>
      <c r="L36" s="77"/>
      <c r="M36" s="53"/>
      <c r="N36" s="77"/>
      <c r="O36" s="78"/>
      <c r="Q36" s="74"/>
    </row>
    <row r="37" spans="2:17" x14ac:dyDescent="0.3">
      <c r="B37" s="52"/>
      <c r="C37" s="53"/>
      <c r="D37" s="77"/>
      <c r="E37" s="53"/>
      <c r="F37" s="82"/>
      <c r="G37" s="83"/>
      <c r="H37" s="82"/>
      <c r="I37" s="83"/>
      <c r="J37" s="82"/>
      <c r="K37" s="83"/>
      <c r="L37" s="77"/>
      <c r="M37" s="53"/>
      <c r="N37" s="77"/>
      <c r="O37" s="78"/>
      <c r="Q37" s="74"/>
    </row>
    <row r="38" spans="2:17" ht="17.25" thickBot="1" x14ac:dyDescent="0.35">
      <c r="B38" s="52"/>
      <c r="C38" s="53"/>
      <c r="D38" s="84"/>
      <c r="E38" s="85"/>
      <c r="F38" s="84"/>
      <c r="G38" s="85"/>
      <c r="H38" s="84"/>
      <c r="I38" s="85"/>
      <c r="J38" s="84"/>
      <c r="K38" s="85"/>
      <c r="L38" s="84"/>
      <c r="M38" s="85"/>
      <c r="N38" s="84"/>
      <c r="O38" s="86"/>
    </row>
    <row r="39" spans="2:17" x14ac:dyDescent="0.3">
      <c r="B39" s="65"/>
      <c r="C39" s="66"/>
    </row>
    <row r="40" spans="2:17" ht="26.25" x14ac:dyDescent="0.45"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</row>
    <row r="41" spans="2:17" ht="26.25" x14ac:dyDescent="0.45"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</sheetData>
  <mergeCells count="212">
    <mergeCell ref="N38:O38"/>
    <mergeCell ref="B39:C39"/>
    <mergeCell ref="B40:O40"/>
    <mergeCell ref="B41:O41"/>
    <mergeCell ref="B38:C38"/>
    <mergeCell ref="D38:E38"/>
    <mergeCell ref="F38:G38"/>
    <mergeCell ref="H38:I38"/>
    <mergeCell ref="J38:K38"/>
    <mergeCell ref="L38:M38"/>
    <mergeCell ref="N36:O36"/>
    <mergeCell ref="B37:C37"/>
    <mergeCell ref="D37:E37"/>
    <mergeCell ref="F37:G37"/>
    <mergeCell ref="H37:I37"/>
    <mergeCell ref="J37:K37"/>
    <mergeCell ref="L37:M37"/>
    <mergeCell ref="N37:O37"/>
    <mergeCell ref="B36:C36"/>
    <mergeCell ref="D36:E36"/>
    <mergeCell ref="F36:G36"/>
    <mergeCell ref="H36:I36"/>
    <mergeCell ref="J36:K36"/>
    <mergeCell ref="L36:M36"/>
    <mergeCell ref="L33:M33"/>
    <mergeCell ref="N33:O33"/>
    <mergeCell ref="B35:C35"/>
    <mergeCell ref="D35:E35"/>
    <mergeCell ref="F35:G35"/>
    <mergeCell ref="H35:I35"/>
    <mergeCell ref="J35:K35"/>
    <mergeCell ref="L35:M35"/>
    <mergeCell ref="N35:O35"/>
    <mergeCell ref="N31:O31"/>
    <mergeCell ref="B32:C32"/>
    <mergeCell ref="D32:E32"/>
    <mergeCell ref="F32:G32"/>
    <mergeCell ref="H32:I32"/>
    <mergeCell ref="L32:M32"/>
    <mergeCell ref="N32:O32"/>
    <mergeCell ref="B31:C31"/>
    <mergeCell ref="D31:E31"/>
    <mergeCell ref="F31:G31"/>
    <mergeCell ref="H31:I31"/>
    <mergeCell ref="J31:K33"/>
    <mergeCell ref="L31:M31"/>
    <mergeCell ref="B33:C33"/>
    <mergeCell ref="D33:E33"/>
    <mergeCell ref="F33:G33"/>
    <mergeCell ref="H33:I33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F26:G26"/>
    <mergeCell ref="H26:I26"/>
    <mergeCell ref="L26:M26"/>
    <mergeCell ref="N26:O26"/>
    <mergeCell ref="B27:C27"/>
    <mergeCell ref="D27:E27"/>
    <mergeCell ref="F27:G27"/>
    <mergeCell ref="H27:I27"/>
    <mergeCell ref="L27:M27"/>
    <mergeCell ref="N27:O27"/>
    <mergeCell ref="N24:O24"/>
    <mergeCell ref="B25:C25"/>
    <mergeCell ref="D25:E25"/>
    <mergeCell ref="F25:G25"/>
    <mergeCell ref="H25:I25"/>
    <mergeCell ref="J25:K27"/>
    <mergeCell ref="L25:M25"/>
    <mergeCell ref="N25:O25"/>
    <mergeCell ref="B26:C26"/>
    <mergeCell ref="D26:E26"/>
    <mergeCell ref="B24:C24"/>
    <mergeCell ref="D24:E24"/>
    <mergeCell ref="F24:G24"/>
    <mergeCell ref="H24:I24"/>
    <mergeCell ref="J24:K24"/>
    <mergeCell ref="L24:M24"/>
    <mergeCell ref="N21:O21"/>
    <mergeCell ref="B23:C23"/>
    <mergeCell ref="D23:E23"/>
    <mergeCell ref="F23:G23"/>
    <mergeCell ref="H23:I23"/>
    <mergeCell ref="J23:K23"/>
    <mergeCell ref="L23:M23"/>
    <mergeCell ref="N23:O23"/>
    <mergeCell ref="B21:C21"/>
    <mergeCell ref="D21:E21"/>
    <mergeCell ref="F21:G21"/>
    <mergeCell ref="H21:I21"/>
    <mergeCell ref="J21:K21"/>
    <mergeCell ref="L21:M21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5:C15"/>
    <mergeCell ref="D15:E15"/>
    <mergeCell ref="F15:G15"/>
    <mergeCell ref="H15:I15"/>
    <mergeCell ref="J15:K15"/>
    <mergeCell ref="L15:M15"/>
    <mergeCell ref="N15:O15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9:O9"/>
    <mergeCell ref="B11:C11"/>
    <mergeCell ref="D11:E11"/>
    <mergeCell ref="F11:G11"/>
    <mergeCell ref="H11:I11"/>
    <mergeCell ref="J11:K11"/>
    <mergeCell ref="L11:M11"/>
    <mergeCell ref="N11:O11"/>
    <mergeCell ref="B9:C9"/>
    <mergeCell ref="D9:E9"/>
    <mergeCell ref="F9:G9"/>
    <mergeCell ref="H9:I9"/>
    <mergeCell ref="J9:K9"/>
    <mergeCell ref="L9:M9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B2:C2"/>
    <mergeCell ref="F2:K2"/>
    <mergeCell ref="N2:O2"/>
    <mergeCell ref="B3:C3"/>
    <mergeCell ref="D3:E3"/>
    <mergeCell ref="F3:G3"/>
    <mergeCell ref="H3:I3"/>
    <mergeCell ref="J3:K3"/>
    <mergeCell ref="L3:M3"/>
    <mergeCell ref="N3:O3"/>
  </mergeCells>
  <phoneticPr fontId="3" type="noConversion"/>
  <printOptions horizontalCentered="1" verticalCentered="1"/>
  <pageMargins left="0.70866141732283472" right="0.70866141732283472" top="0.39370078740157483" bottom="0.3937007874015748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(06월)갑지</vt:lpstr>
      <vt:lpstr>(06월)상세내역</vt:lpstr>
      <vt:lpstr>'(06월)갑지'!Print_Area</vt:lpstr>
      <vt:lpstr>'(06월)상세내역'!Print_Area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dcterms:created xsi:type="dcterms:W3CDTF">2026-08-02T23:33:05Z</dcterms:created>
  <dcterms:modified xsi:type="dcterms:W3CDTF">2026-08-02T23:33:18Z</dcterms:modified>
</cp:coreProperties>
</file>